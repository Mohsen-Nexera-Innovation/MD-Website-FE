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 (4)\Hadeer\plan\"/>
    </mc:Choice>
  </mc:AlternateContent>
  <xr:revisionPtr revIDLastSave="0" documentId="13_ncr:1_{FFC6874F-48F6-4ED9-A5B5-AC18F0541CF0}" xr6:coauthVersionLast="47" xr6:coauthVersionMax="47" xr10:uidLastSave="{00000000-0000-0000-0000-000000000000}"/>
  <bookViews>
    <workbookView xWindow="-108" yWindow="-108" windowWidth="23256" windowHeight="12456" firstSheet="1" activeTab="1" xr2:uid="{1C5F587F-EE02-488F-A91F-A04D1948B966}"/>
  </bookViews>
  <sheets>
    <sheet name="Egypt_Regions_Full_List (2)" sheetId="6" state="hidden" r:id="rId1"/>
    <sheet name="Egypt_Regions_Full_List" sheetId="3" r:id="rId2"/>
    <sheet name="Coverage Plan" sheetId="4" r:id="rId3"/>
    <sheet name="Sheet1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4" l="1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3" i="4"/>
</calcChain>
</file>

<file path=xl/sharedStrings.xml><?xml version="1.0" encoding="utf-8"?>
<sst xmlns="http://schemas.openxmlformats.org/spreadsheetml/2006/main" count="651" uniqueCount="174">
  <si>
    <t>Region</t>
  </si>
  <si>
    <t>Governorate</t>
  </si>
  <si>
    <t>Geographical Area</t>
  </si>
  <si>
    <t>District Manager</t>
  </si>
  <si>
    <t>Section / Team (Direct)</t>
  </si>
  <si>
    <t>Commercial Manager</t>
  </si>
  <si>
    <t>Section / Team (Commercial)</t>
  </si>
  <si>
    <t>Greater Cairo</t>
  </si>
  <si>
    <t>Cairo</t>
  </si>
  <si>
    <t>New Cairo</t>
  </si>
  <si>
    <t>Dr.Islam Yasser</t>
  </si>
  <si>
    <t>Saif E ldin Hossam</t>
  </si>
  <si>
    <t>Eng.Karim Sabrh</t>
  </si>
  <si>
    <t>Mr/Ezz Sabrah</t>
  </si>
  <si>
    <t>Nasr City</t>
  </si>
  <si>
    <t>Maadi</t>
  </si>
  <si>
    <t>Heliopolis</t>
  </si>
  <si>
    <t>Dr/Bartisia Aymen</t>
  </si>
  <si>
    <t>Downtown</t>
  </si>
  <si>
    <t>El Mokattam</t>
  </si>
  <si>
    <t>Taker Waled</t>
  </si>
  <si>
    <t>Garden City</t>
  </si>
  <si>
    <t>El Basatin</t>
  </si>
  <si>
    <t>Zahraa El Maadi</t>
  </si>
  <si>
    <t>Rod El Farag</t>
  </si>
  <si>
    <t>El Salam</t>
  </si>
  <si>
    <t>Ain Shams</t>
  </si>
  <si>
    <t>El Mataria</t>
  </si>
  <si>
    <t>Zeitoun</t>
  </si>
  <si>
    <t>Helmeyya</t>
  </si>
  <si>
    <t>El Sahel</t>
  </si>
  <si>
    <t>Shoubra</t>
  </si>
  <si>
    <t>Abbassia</t>
  </si>
  <si>
    <t>Sayeda Zeinab</t>
  </si>
  <si>
    <t>Boulaq</t>
  </si>
  <si>
    <t>Manial</t>
  </si>
  <si>
    <t>Old Cairo</t>
  </si>
  <si>
    <t>Hadayeq El Qobbah</t>
  </si>
  <si>
    <t>Helwan</t>
  </si>
  <si>
    <t>El Aasema El Edarya El Gedida</t>
  </si>
  <si>
    <t>15th of May City</t>
  </si>
  <si>
    <t>Badr City</t>
  </si>
  <si>
    <t>Obour City</t>
  </si>
  <si>
    <t>El Shorouk City</t>
  </si>
  <si>
    <t>El Wayly</t>
  </si>
  <si>
    <t>Giza</t>
  </si>
  <si>
    <t>New Giza</t>
  </si>
  <si>
    <t>?</t>
  </si>
  <si>
    <t>New October</t>
  </si>
  <si>
    <t>Dokki</t>
  </si>
  <si>
    <t>Mohandessin</t>
  </si>
  <si>
    <t>6th of October City</t>
  </si>
  <si>
    <t>Dr/Nourhan Mahmoud</t>
  </si>
  <si>
    <t>Sheikh Zayed</t>
  </si>
  <si>
    <t>Imbaba</t>
  </si>
  <si>
    <t>El Haram</t>
  </si>
  <si>
    <t>Qalyubia</t>
  </si>
  <si>
    <t>Banha</t>
  </si>
  <si>
    <t>Shubra El Kheima</t>
  </si>
  <si>
    <t>El Qanater</t>
  </si>
  <si>
    <t>Kafr Shukr</t>
  </si>
  <si>
    <t>Canal Region</t>
  </si>
  <si>
    <t>Port Said</t>
  </si>
  <si>
    <t>Port Said City</t>
  </si>
  <si>
    <t>Port Fouad</t>
  </si>
  <si>
    <t>Ismailia</t>
  </si>
  <si>
    <t>Ismailia City</t>
  </si>
  <si>
    <t>Fayed</t>
  </si>
  <si>
    <t>Suez</t>
  </si>
  <si>
    <t>Suez City</t>
  </si>
  <si>
    <t>Alexandria</t>
  </si>
  <si>
    <t>Montaza</t>
  </si>
  <si>
    <t>Dr/Mahmoud Safty</t>
  </si>
  <si>
    <t>Dr/VIOLA Hany</t>
  </si>
  <si>
    <t>Mr/Mohamed El gamal</t>
  </si>
  <si>
    <t>Smouha</t>
  </si>
  <si>
    <t>Sidi Gaber</t>
  </si>
  <si>
    <t>Agamy</t>
  </si>
  <si>
    <t>Borg El Arab</t>
  </si>
  <si>
    <t>Delta</t>
  </si>
  <si>
    <t>El Sharkia</t>
  </si>
  <si>
    <t>Zagazig</t>
  </si>
  <si>
    <t>10th of Ramadan</t>
  </si>
  <si>
    <t>Belbeis</t>
  </si>
  <si>
    <t>El Dakahlia</t>
  </si>
  <si>
    <t>Mansoura</t>
  </si>
  <si>
    <t>Dr/Esraa Ashraf</t>
  </si>
  <si>
    <t>Talkha</t>
  </si>
  <si>
    <t>El Gharbia</t>
  </si>
  <si>
    <t>Tanta</t>
  </si>
  <si>
    <t>El Mahalla El Kubra</t>
  </si>
  <si>
    <t>El Monufia</t>
  </si>
  <si>
    <t>Shebin El Kom</t>
  </si>
  <si>
    <t>Menouf</t>
  </si>
  <si>
    <t>Kafr El Sheikh</t>
  </si>
  <si>
    <t>Kafr El Sheikh City</t>
  </si>
  <si>
    <t>Dr/Ahmed Mahmoud</t>
  </si>
  <si>
    <t>Desouk</t>
  </si>
  <si>
    <t>El Beheira</t>
  </si>
  <si>
    <t>Damanhour</t>
  </si>
  <si>
    <t>Dr/Rawan Kamal</t>
  </si>
  <si>
    <t>Kafr El Dawar</t>
  </si>
  <si>
    <t>Damietta</t>
  </si>
  <si>
    <t>Damietta City</t>
  </si>
  <si>
    <t>New Damietta</t>
  </si>
  <si>
    <t>Upper Egypt</t>
  </si>
  <si>
    <t>Beni Suef</t>
  </si>
  <si>
    <t>Beni Suef City</t>
  </si>
  <si>
    <t>Dr/Abanoub Gamal</t>
  </si>
  <si>
    <t>Fayoum</t>
  </si>
  <si>
    <t>Fayoum City</t>
  </si>
  <si>
    <t>Minya</t>
  </si>
  <si>
    <t>Minya City</t>
  </si>
  <si>
    <t>Dr/ola ali</t>
  </si>
  <si>
    <t>Assiut</t>
  </si>
  <si>
    <t>Assiut City</t>
  </si>
  <si>
    <t>Dr/Mariam Essa</t>
  </si>
  <si>
    <t>Sohag</t>
  </si>
  <si>
    <t>Sohag City</t>
  </si>
  <si>
    <t>Qena</t>
  </si>
  <si>
    <t>Qena City</t>
  </si>
  <si>
    <t>Nag Hammadi</t>
  </si>
  <si>
    <t>Luxor</t>
  </si>
  <si>
    <t>Luxor City</t>
  </si>
  <si>
    <t>Aswan</t>
  </si>
  <si>
    <t>Aswan City</t>
  </si>
  <si>
    <t>Kom Ombo</t>
  </si>
  <si>
    <t>North Coast &amp; Matrouh</t>
  </si>
  <si>
    <t>Matrouh</t>
  </si>
  <si>
    <t>Marsa Matrouh</t>
  </si>
  <si>
    <t>Alamein</t>
  </si>
  <si>
    <t>Siwa</t>
  </si>
  <si>
    <t>Sinai Region</t>
  </si>
  <si>
    <t>North Sinai</t>
  </si>
  <si>
    <t>Arish</t>
  </si>
  <si>
    <t>Rafah</t>
  </si>
  <si>
    <t>South Sinai</t>
  </si>
  <si>
    <t>Sharm El Sheikh</t>
  </si>
  <si>
    <t>Dahab</t>
  </si>
  <si>
    <t>El Tor</t>
  </si>
  <si>
    <t>Red Sea</t>
  </si>
  <si>
    <t>Hurghada</t>
  </si>
  <si>
    <t>Safaga</t>
  </si>
  <si>
    <t>Quseir</t>
  </si>
  <si>
    <t>Marsa Alam</t>
  </si>
  <si>
    <t xml:space="preserve">dr /ahmed hussuin </t>
  </si>
  <si>
    <t>Dr/ Mahmoud abdulrazik</t>
  </si>
  <si>
    <t xml:space="preserve">Dr/Kareem anwer </t>
  </si>
  <si>
    <t>Dr/khaled</t>
  </si>
  <si>
    <t>Dr/ahmed el zohry</t>
  </si>
  <si>
    <t>Dr/</t>
  </si>
  <si>
    <t>Dr/Mohamed Gamal</t>
  </si>
  <si>
    <t>Dr/zinab mohktar</t>
  </si>
  <si>
    <t>Clinics</t>
  </si>
  <si>
    <t>Clinics actual</t>
  </si>
  <si>
    <t>Clinics Covered (%)</t>
  </si>
  <si>
    <t>Hospitals (dental)</t>
  </si>
  <si>
    <t>Hospitals (actual)</t>
  </si>
  <si>
    <t>Hospitals Covered (%)</t>
  </si>
  <si>
    <t>Universities (dentistry)</t>
  </si>
  <si>
    <t>Universities (actual)</t>
  </si>
  <si>
    <t>Universities Covered (%)</t>
  </si>
  <si>
    <t>Total Potential Clients</t>
  </si>
  <si>
    <t>Total Covered (%) Clients</t>
  </si>
  <si>
    <t>Agencies</t>
  </si>
  <si>
    <t xml:space="preserve">BMS </t>
  </si>
  <si>
    <t xml:space="preserve">Heydent composite </t>
  </si>
  <si>
    <t xml:space="preserve">Aditek orthodontics </t>
  </si>
  <si>
    <t xml:space="preserve">Tristar </t>
  </si>
  <si>
    <t xml:space="preserve">MD dam </t>
  </si>
  <si>
    <t xml:space="preserve">Centrix </t>
  </si>
  <si>
    <t>MCT Bio</t>
  </si>
  <si>
    <t>✅ Covered</t>
  </si>
  <si>
    <t>🟠 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</si>
</sst>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4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textRotation="90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9" fontId="0" fillId="0" borderId="1" xfId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textRotation="90"/>
    </xf>
    <xf numFmtId="0" fontId="0" fillId="3" borderId="2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center" textRotation="90"/>
    </xf>
    <xf numFmtId="0" fontId="3" fillId="3" borderId="2" xfId="0" applyFont="1" applyFill="1" applyBorder="1" applyAlignment="1">
      <alignment horizontal="center" vertical="center" textRotation="90"/>
    </xf>
    <xf numFmtId="0" fontId="3" fillId="3" borderId="3" xfId="0" applyFont="1" applyFill="1" applyBorder="1" applyAlignment="1">
      <alignment horizontal="center" vertical="center" textRotation="90"/>
    </xf>
    <xf numFmtId="0" fontId="3" fillId="3" borderId="4" xfId="0" applyFont="1" applyFill="1" applyBorder="1" applyAlignment="1">
      <alignment horizontal="center" vertical="center" textRotation="90"/>
    </xf>
    <xf numFmtId="0" fontId="2" fillId="3" borderId="2" xfId="0" applyFont="1" applyFill="1" applyBorder="1" applyAlignment="1">
      <alignment horizontal="center" vertical="center" textRotation="90"/>
    </xf>
    <xf numFmtId="0" fontId="2" fillId="3" borderId="3" xfId="0" applyFont="1" applyFill="1" applyBorder="1" applyAlignment="1">
      <alignment horizontal="center" vertical="center" textRotation="90"/>
    </xf>
    <xf numFmtId="0" fontId="2" fillId="3" borderId="4" xfId="0" applyFont="1" applyFill="1" applyBorder="1" applyAlignment="1">
      <alignment horizontal="center" vertical="center" textRotation="90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 textRotation="90"/>
    </xf>
    <xf numFmtId="0" fontId="2" fillId="4" borderId="3" xfId="0" applyFont="1" applyFill="1" applyBorder="1" applyAlignment="1">
      <alignment horizontal="center" vertical="center" textRotation="90"/>
    </xf>
    <xf numFmtId="0" fontId="2" fillId="4" borderId="4" xfId="0" applyFont="1" applyFill="1" applyBorder="1" applyAlignment="1">
      <alignment horizontal="center" vertical="center" textRotation="90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textRotation="90"/>
    </xf>
    <xf numFmtId="0" fontId="6" fillId="3" borderId="3" xfId="0" applyFont="1" applyFill="1" applyBorder="1" applyAlignment="1">
      <alignment horizontal="center" vertical="center" textRotation="90"/>
    </xf>
    <xf numFmtId="0" fontId="6" fillId="4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textRotation="90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textRotation="90"/>
    </xf>
    <xf numFmtId="0" fontId="6" fillId="3" borderId="4" xfId="0" applyFont="1" applyFill="1" applyBorder="1" applyAlignment="1">
      <alignment horizontal="center" vertical="center" textRotation="90"/>
    </xf>
    <xf numFmtId="0" fontId="6" fillId="4" borderId="2" xfId="0" applyFont="1" applyFill="1" applyBorder="1" applyAlignment="1">
      <alignment horizontal="center" vertical="center" textRotation="90"/>
    </xf>
    <xf numFmtId="0" fontId="6" fillId="4" borderId="3" xfId="0" applyFont="1" applyFill="1" applyBorder="1" applyAlignment="1">
      <alignment horizontal="center" vertical="center" textRotation="90"/>
    </xf>
    <xf numFmtId="0" fontId="6" fillId="4" borderId="4" xfId="0" applyFont="1" applyFill="1" applyBorder="1" applyAlignment="1">
      <alignment horizontal="center" vertical="center" textRotation="90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"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B407-E244-40A5-AE2C-660A037F7AE3}">
  <dimension ref="A1:G92"/>
  <sheetViews>
    <sheetView zoomScale="72" zoomScaleNormal="72" workbookViewId="0">
      <selection activeCell="D2" sqref="D2:D44"/>
    </sheetView>
  </sheetViews>
  <sheetFormatPr defaultRowHeight="14.45"/>
  <cols>
    <col min="1" max="1" width="28.5703125" style="1" bestFit="1" customWidth="1"/>
    <col min="2" max="2" width="7.7109375" style="1" customWidth="1"/>
    <col min="3" max="3" width="25.7109375" style="2" bestFit="1" customWidth="1"/>
    <col min="4" max="4" width="27.140625" customWidth="1"/>
    <col min="5" max="5" width="20.5703125" style="1" bestFit="1" customWidth="1"/>
    <col min="6" max="6" width="36" customWidth="1"/>
    <col min="7" max="7" width="25.85546875" bestFit="1" customWidth="1"/>
  </cols>
  <sheetData>
    <row r="1" spans="1:7" ht="19.899999999999999" customHeight="1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0" t="s">
        <v>5</v>
      </c>
      <c r="G1" s="12" t="s">
        <v>6</v>
      </c>
    </row>
    <row r="2" spans="1:7" ht="14.45" customHeight="1">
      <c r="A2" s="33" t="s">
        <v>7</v>
      </c>
      <c r="B2" s="4" t="s">
        <v>8</v>
      </c>
      <c r="C2" s="4" t="s">
        <v>9</v>
      </c>
      <c r="D2" s="53" t="s">
        <v>10</v>
      </c>
      <c r="E2" s="59" t="s">
        <v>11</v>
      </c>
      <c r="F2" s="53" t="s">
        <v>12</v>
      </c>
      <c r="G2" s="62" t="s">
        <v>13</v>
      </c>
    </row>
    <row r="3" spans="1:7" ht="33.6">
      <c r="A3" s="33" t="s">
        <v>7</v>
      </c>
      <c r="B3" s="4" t="s">
        <v>8</v>
      </c>
      <c r="C3" s="4" t="s">
        <v>14</v>
      </c>
      <c r="D3" s="54"/>
      <c r="E3" s="59"/>
      <c r="F3" s="54"/>
      <c r="G3" s="63"/>
    </row>
    <row r="4" spans="1:7" ht="33.6">
      <c r="A4" s="33" t="s">
        <v>7</v>
      </c>
      <c r="B4" s="4" t="s">
        <v>8</v>
      </c>
      <c r="C4" s="4" t="s">
        <v>15</v>
      </c>
      <c r="D4" s="54"/>
      <c r="E4" s="59"/>
      <c r="F4" s="54"/>
      <c r="G4" s="63"/>
    </row>
    <row r="5" spans="1:7" ht="33.6">
      <c r="A5" s="33" t="s">
        <v>7</v>
      </c>
      <c r="B5" s="4" t="s">
        <v>8</v>
      </c>
      <c r="C5" s="4" t="s">
        <v>16</v>
      </c>
      <c r="D5" s="54"/>
      <c r="E5" s="6" t="s">
        <v>17</v>
      </c>
      <c r="F5" s="54"/>
      <c r="G5" s="63"/>
    </row>
    <row r="6" spans="1:7" ht="33.6">
      <c r="A6" s="33" t="s">
        <v>7</v>
      </c>
      <c r="B6" s="4" t="s">
        <v>8</v>
      </c>
      <c r="C6" s="4" t="s">
        <v>18</v>
      </c>
      <c r="D6" s="54"/>
      <c r="E6" s="6"/>
      <c r="F6" s="54"/>
      <c r="G6" s="63"/>
    </row>
    <row r="7" spans="1:7" ht="33.6">
      <c r="A7" s="33" t="s">
        <v>7</v>
      </c>
      <c r="B7" s="4" t="s">
        <v>8</v>
      </c>
      <c r="C7" s="5" t="s">
        <v>19</v>
      </c>
      <c r="D7" s="54"/>
      <c r="E7" s="6" t="s">
        <v>20</v>
      </c>
      <c r="F7" s="54"/>
      <c r="G7" s="63"/>
    </row>
    <row r="8" spans="1:7" ht="33.6">
      <c r="A8" s="33" t="s">
        <v>7</v>
      </c>
      <c r="B8" s="4" t="s">
        <v>8</v>
      </c>
      <c r="C8" s="5" t="s">
        <v>21</v>
      </c>
      <c r="D8" s="54"/>
      <c r="E8" s="6"/>
      <c r="F8" s="54"/>
      <c r="G8" s="63"/>
    </row>
    <row r="9" spans="1:7" ht="33.6">
      <c r="A9" s="33" t="s">
        <v>7</v>
      </c>
      <c r="B9" s="4" t="s">
        <v>8</v>
      </c>
      <c r="C9" s="5" t="s">
        <v>22</v>
      </c>
      <c r="D9" s="54"/>
      <c r="E9" s="6"/>
      <c r="F9" s="54"/>
      <c r="G9" s="63"/>
    </row>
    <row r="10" spans="1:7" ht="33.6">
      <c r="A10" s="33" t="s">
        <v>7</v>
      </c>
      <c r="B10" s="4" t="s">
        <v>8</v>
      </c>
      <c r="C10" s="4" t="s">
        <v>23</v>
      </c>
      <c r="D10" s="54"/>
      <c r="E10" s="6"/>
      <c r="F10" s="54"/>
      <c r="G10" s="63"/>
    </row>
    <row r="11" spans="1:7" ht="33.6">
      <c r="A11" s="33" t="s">
        <v>7</v>
      </c>
      <c r="B11" s="4" t="s">
        <v>8</v>
      </c>
      <c r="C11" s="5" t="s">
        <v>24</v>
      </c>
      <c r="D11" s="54"/>
      <c r="E11" s="6"/>
      <c r="F11" s="54"/>
      <c r="G11" s="63"/>
    </row>
    <row r="12" spans="1:7" ht="33.6">
      <c r="A12" s="33" t="s">
        <v>7</v>
      </c>
      <c r="B12" s="4" t="s">
        <v>8</v>
      </c>
      <c r="C12" s="4" t="s">
        <v>25</v>
      </c>
      <c r="D12" s="54"/>
      <c r="E12" s="6"/>
      <c r="F12" s="54"/>
      <c r="G12" s="63"/>
    </row>
    <row r="13" spans="1:7" ht="33.6">
      <c r="A13" s="33" t="s">
        <v>7</v>
      </c>
      <c r="B13" s="4" t="s">
        <v>8</v>
      </c>
      <c r="C13" s="4" t="s">
        <v>26</v>
      </c>
      <c r="D13" s="54"/>
      <c r="E13" s="6"/>
      <c r="F13" s="54"/>
      <c r="G13" s="63"/>
    </row>
    <row r="14" spans="1:7" ht="33.6">
      <c r="A14" s="33" t="s">
        <v>7</v>
      </c>
      <c r="B14" s="4" t="s">
        <v>8</v>
      </c>
      <c r="C14" s="4" t="s">
        <v>27</v>
      </c>
      <c r="D14" s="54"/>
      <c r="E14" s="59" t="s">
        <v>17</v>
      </c>
      <c r="F14" s="54"/>
      <c r="G14" s="63"/>
    </row>
    <row r="15" spans="1:7" ht="33.6">
      <c r="A15" s="33" t="s">
        <v>7</v>
      </c>
      <c r="B15" s="4" t="s">
        <v>8</v>
      </c>
      <c r="C15" s="4" t="s">
        <v>28</v>
      </c>
      <c r="D15" s="54"/>
      <c r="E15" s="59"/>
      <c r="F15" s="54"/>
      <c r="G15" s="63"/>
    </row>
    <row r="16" spans="1:7" ht="33.6">
      <c r="A16" s="33" t="s">
        <v>7</v>
      </c>
      <c r="B16" s="4" t="s">
        <v>8</v>
      </c>
      <c r="C16" s="4" t="s">
        <v>29</v>
      </c>
      <c r="D16" s="54"/>
      <c r="E16" s="59"/>
      <c r="F16" s="54"/>
      <c r="G16" s="63"/>
    </row>
    <row r="17" spans="1:7" ht="33.6">
      <c r="A17" s="33" t="s">
        <v>7</v>
      </c>
      <c r="B17" s="4" t="s">
        <v>8</v>
      </c>
      <c r="C17" s="5" t="s">
        <v>30</v>
      </c>
      <c r="D17" s="54"/>
      <c r="E17" s="6"/>
      <c r="F17" s="54"/>
      <c r="G17" s="63"/>
    </row>
    <row r="18" spans="1:7" ht="33.6">
      <c r="A18" s="33" t="s">
        <v>7</v>
      </c>
      <c r="B18" s="4" t="s">
        <v>8</v>
      </c>
      <c r="C18" s="4" t="s">
        <v>31</v>
      </c>
      <c r="D18" s="54"/>
      <c r="E18" s="6"/>
      <c r="F18" s="54"/>
      <c r="G18" s="63"/>
    </row>
    <row r="19" spans="1:7" ht="33.6">
      <c r="A19" s="33" t="s">
        <v>7</v>
      </c>
      <c r="B19" s="4" t="s">
        <v>8</v>
      </c>
      <c r="C19" s="5" t="s">
        <v>32</v>
      </c>
      <c r="D19" s="54"/>
      <c r="E19" s="6"/>
      <c r="F19" s="54"/>
      <c r="G19" s="63"/>
    </row>
    <row r="20" spans="1:7" ht="33.6">
      <c r="A20" s="33" t="s">
        <v>7</v>
      </c>
      <c r="B20" s="4" t="s">
        <v>8</v>
      </c>
      <c r="C20" s="5" t="s">
        <v>33</v>
      </c>
      <c r="D20" s="54"/>
      <c r="E20" s="6"/>
      <c r="F20" s="54"/>
      <c r="G20" s="63"/>
    </row>
    <row r="21" spans="1:7" ht="33.6">
      <c r="A21" s="33" t="s">
        <v>7</v>
      </c>
      <c r="B21" s="4" t="s">
        <v>8</v>
      </c>
      <c r="C21" s="5" t="s">
        <v>34</v>
      </c>
      <c r="D21" s="54"/>
      <c r="E21" s="6"/>
      <c r="F21" s="54"/>
      <c r="G21" s="63"/>
    </row>
    <row r="22" spans="1:7" ht="33.6">
      <c r="A22" s="33" t="s">
        <v>7</v>
      </c>
      <c r="B22" s="4" t="s">
        <v>8</v>
      </c>
      <c r="C22" s="5" t="s">
        <v>35</v>
      </c>
      <c r="D22" s="54"/>
      <c r="E22" s="6"/>
      <c r="F22" s="54"/>
      <c r="G22" s="63"/>
    </row>
    <row r="23" spans="1:7" ht="33.6">
      <c r="A23" s="33" t="s">
        <v>7</v>
      </c>
      <c r="B23" s="4" t="s">
        <v>8</v>
      </c>
      <c r="C23" s="5" t="s">
        <v>36</v>
      </c>
      <c r="D23" s="54"/>
      <c r="E23" s="6"/>
      <c r="F23" s="54"/>
      <c r="G23" s="63"/>
    </row>
    <row r="24" spans="1:7" ht="33.6">
      <c r="A24" s="33" t="s">
        <v>7</v>
      </c>
      <c r="B24" s="4" t="s">
        <v>8</v>
      </c>
      <c r="C24" s="5" t="s">
        <v>37</v>
      </c>
      <c r="D24" s="54"/>
      <c r="E24" s="6"/>
      <c r="F24" s="54"/>
      <c r="G24" s="63"/>
    </row>
    <row r="25" spans="1:7" ht="33.6">
      <c r="A25" s="33" t="s">
        <v>7</v>
      </c>
      <c r="B25" s="4" t="s">
        <v>8</v>
      </c>
      <c r="C25" s="5" t="s">
        <v>38</v>
      </c>
      <c r="D25" s="54"/>
      <c r="E25" s="6"/>
      <c r="F25" s="54"/>
      <c r="G25" s="63"/>
    </row>
    <row r="26" spans="1:7" ht="33.6">
      <c r="A26" s="33" t="s">
        <v>7</v>
      </c>
      <c r="B26" s="4" t="s">
        <v>8</v>
      </c>
      <c r="C26" s="5" t="s">
        <v>39</v>
      </c>
      <c r="D26" s="54"/>
      <c r="E26" s="6"/>
      <c r="F26" s="54"/>
      <c r="G26" s="63"/>
    </row>
    <row r="27" spans="1:7" ht="33.6">
      <c r="A27" s="33" t="s">
        <v>7</v>
      </c>
      <c r="B27" s="4" t="s">
        <v>8</v>
      </c>
      <c r="C27" s="4" t="s">
        <v>40</v>
      </c>
      <c r="D27" s="54"/>
      <c r="E27" s="6"/>
      <c r="F27" s="54"/>
      <c r="G27" s="63"/>
    </row>
    <row r="28" spans="1:7" ht="33.6">
      <c r="A28" s="33" t="s">
        <v>7</v>
      </c>
      <c r="B28" s="4" t="s">
        <v>8</v>
      </c>
      <c r="C28" s="4" t="s">
        <v>41</v>
      </c>
      <c r="D28" s="54"/>
      <c r="E28" s="6"/>
      <c r="F28" s="54"/>
      <c r="G28" s="63"/>
    </row>
    <row r="29" spans="1:7" ht="33.6">
      <c r="A29" s="33" t="s">
        <v>7</v>
      </c>
      <c r="B29" s="4" t="s">
        <v>8</v>
      </c>
      <c r="C29" s="4" t="s">
        <v>42</v>
      </c>
      <c r="D29" s="54"/>
      <c r="E29" s="6"/>
      <c r="F29" s="54"/>
      <c r="G29" s="63"/>
    </row>
    <row r="30" spans="1:7" ht="33.6">
      <c r="A30" s="33" t="s">
        <v>7</v>
      </c>
      <c r="B30" s="4" t="s">
        <v>8</v>
      </c>
      <c r="C30" s="4" t="s">
        <v>43</v>
      </c>
      <c r="D30" s="54"/>
      <c r="E30" s="6"/>
      <c r="F30" s="54"/>
      <c r="G30" s="63"/>
    </row>
    <row r="31" spans="1:7" ht="33.6">
      <c r="A31" s="33" t="s">
        <v>7</v>
      </c>
      <c r="B31" s="4" t="s">
        <v>8</v>
      </c>
      <c r="C31" s="4" t="s">
        <v>44</v>
      </c>
      <c r="D31" s="54"/>
      <c r="E31" s="6"/>
      <c r="F31" s="54"/>
      <c r="G31" s="63"/>
    </row>
    <row r="32" spans="1:7" ht="24" customHeight="1">
      <c r="A32" s="33" t="s">
        <v>7</v>
      </c>
      <c r="B32" s="43" t="s">
        <v>45</v>
      </c>
      <c r="C32" s="4" t="s">
        <v>45</v>
      </c>
      <c r="D32" s="54"/>
      <c r="E32" s="6" t="s">
        <v>20</v>
      </c>
      <c r="F32" s="54"/>
      <c r="G32" s="63"/>
    </row>
    <row r="33" spans="1:7" ht="24" customHeight="1">
      <c r="A33" s="33" t="s">
        <v>7</v>
      </c>
      <c r="B33" s="43"/>
      <c r="C33" s="4" t="s">
        <v>46</v>
      </c>
      <c r="D33" s="54"/>
      <c r="E33" s="6" t="s">
        <v>47</v>
      </c>
      <c r="F33" s="54"/>
      <c r="G33" s="63"/>
    </row>
    <row r="34" spans="1:7" ht="24" customHeight="1">
      <c r="A34" s="33" t="s">
        <v>7</v>
      </c>
      <c r="B34" s="43"/>
      <c r="C34" s="4" t="s">
        <v>48</v>
      </c>
      <c r="D34" s="54"/>
      <c r="E34" s="6" t="s">
        <v>47</v>
      </c>
      <c r="F34" s="54"/>
      <c r="G34" s="63"/>
    </row>
    <row r="35" spans="1:7" ht="24" customHeight="1">
      <c r="A35" s="33" t="s">
        <v>7</v>
      </c>
      <c r="B35" s="43"/>
      <c r="C35" s="4" t="s">
        <v>49</v>
      </c>
      <c r="D35" s="54"/>
      <c r="E35" s="6" t="s">
        <v>47</v>
      </c>
      <c r="F35" s="54"/>
      <c r="G35" s="63"/>
    </row>
    <row r="36" spans="1:7" ht="24" customHeight="1">
      <c r="A36" s="33" t="s">
        <v>7</v>
      </c>
      <c r="B36" s="43"/>
      <c r="C36" s="4" t="s">
        <v>50</v>
      </c>
      <c r="D36" s="54"/>
      <c r="E36" s="6" t="s">
        <v>47</v>
      </c>
      <c r="F36" s="54"/>
      <c r="G36" s="63"/>
    </row>
    <row r="37" spans="1:7" ht="24" customHeight="1">
      <c r="A37" s="33" t="s">
        <v>7</v>
      </c>
      <c r="B37" s="43"/>
      <c r="C37" s="4" t="s">
        <v>51</v>
      </c>
      <c r="D37" s="54"/>
      <c r="E37" s="59" t="s">
        <v>52</v>
      </c>
      <c r="F37" s="54"/>
      <c r="G37" s="63"/>
    </row>
    <row r="38" spans="1:7" ht="24" customHeight="1">
      <c r="A38" s="33" t="s">
        <v>7</v>
      </c>
      <c r="B38" s="43"/>
      <c r="C38" s="4" t="s">
        <v>53</v>
      </c>
      <c r="D38" s="54"/>
      <c r="E38" s="59"/>
      <c r="F38" s="54"/>
      <c r="G38" s="63"/>
    </row>
    <row r="39" spans="1:7" ht="24" customHeight="1">
      <c r="A39" s="33" t="s">
        <v>7</v>
      </c>
      <c r="B39" s="43"/>
      <c r="C39" s="4" t="s">
        <v>54</v>
      </c>
      <c r="D39" s="54"/>
      <c r="E39" s="6" t="s">
        <v>47</v>
      </c>
      <c r="F39" s="54"/>
      <c r="G39" s="63"/>
    </row>
    <row r="40" spans="1:7" ht="24" customHeight="1">
      <c r="A40" s="33" t="s">
        <v>7</v>
      </c>
      <c r="B40" s="43"/>
      <c r="C40" s="4" t="s">
        <v>55</v>
      </c>
      <c r="D40" s="54"/>
      <c r="E40" s="6" t="s">
        <v>47</v>
      </c>
      <c r="F40" s="54"/>
      <c r="G40" s="63"/>
    </row>
    <row r="41" spans="1:7" ht="14.45" customHeight="1">
      <c r="A41" s="33" t="s">
        <v>7</v>
      </c>
      <c r="B41" s="44" t="s">
        <v>56</v>
      </c>
      <c r="C41" s="4" t="s">
        <v>57</v>
      </c>
      <c r="D41" s="54"/>
      <c r="E41" s="56" t="s">
        <v>47</v>
      </c>
      <c r="F41" s="54"/>
      <c r="G41" s="63"/>
    </row>
    <row r="42" spans="1:7" ht="33.6">
      <c r="A42" s="33" t="s">
        <v>7</v>
      </c>
      <c r="B42" s="44"/>
      <c r="C42" s="4" t="s">
        <v>58</v>
      </c>
      <c r="D42" s="54"/>
      <c r="E42" s="57"/>
      <c r="F42" s="54"/>
      <c r="G42" s="63"/>
    </row>
    <row r="43" spans="1:7" ht="33.6">
      <c r="A43" s="33" t="s">
        <v>7</v>
      </c>
      <c r="B43" s="44"/>
      <c r="C43" s="4" t="s">
        <v>59</v>
      </c>
      <c r="D43" s="54"/>
      <c r="E43" s="57"/>
      <c r="F43" s="54"/>
      <c r="G43" s="63"/>
    </row>
    <row r="44" spans="1:7" ht="33.6">
      <c r="A44" s="33" t="s">
        <v>7</v>
      </c>
      <c r="B44" s="44"/>
      <c r="C44" s="4" t="s">
        <v>60</v>
      </c>
      <c r="D44" s="55"/>
      <c r="E44" s="58"/>
      <c r="F44" s="54"/>
      <c r="G44" s="63"/>
    </row>
    <row r="45" spans="1:7" ht="24.6" customHeight="1">
      <c r="A45" s="33" t="s">
        <v>61</v>
      </c>
      <c r="B45" s="71" t="s">
        <v>62</v>
      </c>
      <c r="C45" s="4" t="s">
        <v>63</v>
      </c>
      <c r="D45" s="50" t="s">
        <v>47</v>
      </c>
      <c r="E45" s="56" t="s">
        <v>47</v>
      </c>
      <c r="F45" s="54"/>
      <c r="G45" s="63"/>
    </row>
    <row r="46" spans="1:7" ht="21.6" customHeight="1">
      <c r="A46" s="33" t="s">
        <v>61</v>
      </c>
      <c r="B46" s="72"/>
      <c r="C46" s="4" t="s">
        <v>64</v>
      </c>
      <c r="D46" s="51"/>
      <c r="E46" s="58"/>
      <c r="F46" s="54"/>
      <c r="G46" s="63"/>
    </row>
    <row r="47" spans="1:7" ht="14.45" customHeight="1">
      <c r="A47" s="33" t="s">
        <v>61</v>
      </c>
      <c r="B47" s="71" t="s">
        <v>65</v>
      </c>
      <c r="C47" s="4" t="s">
        <v>66</v>
      </c>
      <c r="D47" s="51"/>
      <c r="E47" s="56" t="s">
        <v>47</v>
      </c>
      <c r="F47" s="54"/>
      <c r="G47" s="63"/>
    </row>
    <row r="48" spans="1:7" ht="21.6" customHeight="1">
      <c r="A48" s="33" t="s">
        <v>61</v>
      </c>
      <c r="B48" s="72"/>
      <c r="C48" s="4" t="s">
        <v>67</v>
      </c>
      <c r="D48" s="51"/>
      <c r="E48" s="58"/>
      <c r="F48" s="54"/>
      <c r="G48" s="63"/>
    </row>
    <row r="49" spans="1:7" ht="14.45" customHeight="1">
      <c r="A49" s="33" t="s">
        <v>61</v>
      </c>
      <c r="B49" s="3" t="s">
        <v>68</v>
      </c>
      <c r="C49" s="4" t="s">
        <v>69</v>
      </c>
      <c r="D49" s="52"/>
      <c r="E49" s="6"/>
      <c r="F49" s="54"/>
      <c r="G49" s="64"/>
    </row>
    <row r="50" spans="1:7" ht="26.45" customHeight="1">
      <c r="A50" s="34" t="s">
        <v>70</v>
      </c>
      <c r="B50" s="44" t="s">
        <v>70</v>
      </c>
      <c r="C50" s="4" t="s">
        <v>71</v>
      </c>
      <c r="D50" s="50" t="s">
        <v>72</v>
      </c>
      <c r="E50" s="56" t="s">
        <v>73</v>
      </c>
      <c r="F50" s="54"/>
      <c r="G50" s="62" t="s">
        <v>74</v>
      </c>
    </row>
    <row r="51" spans="1:7" ht="21" customHeight="1">
      <c r="A51" s="34"/>
      <c r="B51" s="44"/>
      <c r="C51" s="4" t="s">
        <v>75</v>
      </c>
      <c r="D51" s="51"/>
      <c r="E51" s="57"/>
      <c r="F51" s="54"/>
      <c r="G51" s="63"/>
    </row>
    <row r="52" spans="1:7" ht="18.600000000000001" customHeight="1">
      <c r="A52" s="34"/>
      <c r="B52" s="44"/>
      <c r="C52" s="4" t="s">
        <v>76</v>
      </c>
      <c r="D52" s="51"/>
      <c r="E52" s="57"/>
      <c r="F52" s="54"/>
      <c r="G52" s="63"/>
    </row>
    <row r="53" spans="1:7" ht="32.450000000000003" customHeight="1">
      <c r="A53" s="34"/>
      <c r="B53" s="44"/>
      <c r="C53" s="4" t="s">
        <v>77</v>
      </c>
      <c r="D53" s="51"/>
      <c r="E53" s="57"/>
      <c r="F53" s="54"/>
      <c r="G53" s="63"/>
    </row>
    <row r="54" spans="1:7">
      <c r="A54" s="34"/>
      <c r="B54" s="44"/>
      <c r="C54" s="4" t="s">
        <v>78</v>
      </c>
      <c r="D54" s="51"/>
      <c r="E54" s="58"/>
      <c r="F54" s="54"/>
      <c r="G54" s="63"/>
    </row>
    <row r="55" spans="1:7" ht="14.45" customHeight="1">
      <c r="A55" s="45" t="s">
        <v>79</v>
      </c>
      <c r="B55" s="73" t="s">
        <v>80</v>
      </c>
      <c r="C55" s="4" t="s">
        <v>81</v>
      </c>
      <c r="D55" s="51"/>
      <c r="E55" s="56" t="s">
        <v>47</v>
      </c>
      <c r="F55" s="54"/>
      <c r="G55" s="63"/>
    </row>
    <row r="56" spans="1:7" ht="14.45" customHeight="1">
      <c r="A56" s="45"/>
      <c r="B56" s="73"/>
      <c r="C56" s="4" t="s">
        <v>82</v>
      </c>
      <c r="D56" s="51"/>
      <c r="E56" s="57"/>
      <c r="F56" s="54"/>
      <c r="G56" s="63"/>
    </row>
    <row r="57" spans="1:7" ht="14.45" customHeight="1">
      <c r="A57" s="45"/>
      <c r="B57" s="73"/>
      <c r="C57" s="4" t="s">
        <v>83</v>
      </c>
      <c r="D57" s="51"/>
      <c r="E57" s="58"/>
      <c r="F57" s="54"/>
      <c r="G57" s="63"/>
    </row>
    <row r="58" spans="1:7" ht="14.45" customHeight="1">
      <c r="A58" s="45"/>
      <c r="B58" s="73" t="s">
        <v>84</v>
      </c>
      <c r="C58" s="4" t="s">
        <v>85</v>
      </c>
      <c r="D58" s="51"/>
      <c r="E58" s="56" t="s">
        <v>86</v>
      </c>
      <c r="F58" s="54"/>
      <c r="G58" s="63"/>
    </row>
    <row r="59" spans="1:7" ht="14.45" customHeight="1">
      <c r="A59" s="45"/>
      <c r="B59" s="73"/>
      <c r="C59" s="4" t="s">
        <v>87</v>
      </c>
      <c r="D59" s="51"/>
      <c r="E59" s="58"/>
      <c r="F59" s="54"/>
      <c r="G59" s="63"/>
    </row>
    <row r="60" spans="1:7" ht="14.45" customHeight="1">
      <c r="A60" s="45"/>
      <c r="B60" s="73" t="s">
        <v>88</v>
      </c>
      <c r="C60" s="4" t="s">
        <v>89</v>
      </c>
      <c r="D60" s="51"/>
      <c r="E60" s="56" t="s">
        <v>47</v>
      </c>
      <c r="F60" s="54"/>
      <c r="G60" s="63"/>
    </row>
    <row r="61" spans="1:7" ht="14.45" customHeight="1">
      <c r="A61" s="45"/>
      <c r="B61" s="73"/>
      <c r="C61" s="4" t="s">
        <v>90</v>
      </c>
      <c r="D61" s="51"/>
      <c r="E61" s="58"/>
      <c r="F61" s="54"/>
      <c r="G61" s="63"/>
    </row>
    <row r="62" spans="1:7" ht="14.45" customHeight="1">
      <c r="A62" s="45"/>
      <c r="B62" s="73" t="s">
        <v>91</v>
      </c>
      <c r="C62" s="4" t="s">
        <v>92</v>
      </c>
      <c r="D62" s="51"/>
      <c r="E62" s="56" t="s">
        <v>47</v>
      </c>
      <c r="F62" s="54"/>
      <c r="G62" s="63"/>
    </row>
    <row r="63" spans="1:7" ht="14.45" customHeight="1">
      <c r="A63" s="45"/>
      <c r="B63" s="73"/>
      <c r="C63" s="4" t="s">
        <v>93</v>
      </c>
      <c r="D63" s="51"/>
      <c r="E63" s="58"/>
      <c r="F63" s="54"/>
      <c r="G63" s="63"/>
    </row>
    <row r="64" spans="1:7" ht="14.45" customHeight="1">
      <c r="A64" s="45"/>
      <c r="B64" s="73" t="s">
        <v>94</v>
      </c>
      <c r="C64" s="4" t="s">
        <v>95</v>
      </c>
      <c r="D64" s="51"/>
      <c r="E64" s="56" t="s">
        <v>96</v>
      </c>
      <c r="F64" s="54"/>
      <c r="G64" s="63"/>
    </row>
    <row r="65" spans="1:7" ht="14.45" customHeight="1">
      <c r="A65" s="45"/>
      <c r="B65" s="73"/>
      <c r="C65" s="4" t="s">
        <v>97</v>
      </c>
      <c r="D65" s="51"/>
      <c r="E65" s="58"/>
      <c r="F65" s="54"/>
      <c r="G65" s="63"/>
    </row>
    <row r="66" spans="1:7" ht="14.45" customHeight="1">
      <c r="A66" s="45"/>
      <c r="B66" s="73" t="s">
        <v>98</v>
      </c>
      <c r="C66" s="4" t="s">
        <v>99</v>
      </c>
      <c r="D66" s="51"/>
      <c r="E66" s="56" t="s">
        <v>100</v>
      </c>
      <c r="F66" s="54"/>
      <c r="G66" s="63"/>
    </row>
    <row r="67" spans="1:7" ht="14.45" customHeight="1">
      <c r="A67" s="45"/>
      <c r="B67" s="73"/>
      <c r="C67" s="4" t="s">
        <v>101</v>
      </c>
      <c r="D67" s="51"/>
      <c r="E67" s="58"/>
      <c r="F67" s="54"/>
      <c r="G67" s="63"/>
    </row>
    <row r="68" spans="1:7" ht="14.45" customHeight="1">
      <c r="A68" s="45"/>
      <c r="B68" s="73" t="s">
        <v>102</v>
      </c>
      <c r="C68" s="4" t="s">
        <v>103</v>
      </c>
      <c r="D68" s="51"/>
      <c r="E68" s="56" t="s">
        <v>47</v>
      </c>
      <c r="F68" s="54"/>
      <c r="G68" s="65" t="s">
        <v>47</v>
      </c>
    </row>
    <row r="69" spans="1:7" ht="14.45" customHeight="1">
      <c r="A69" s="45"/>
      <c r="B69" s="73"/>
      <c r="C69" s="4" t="s">
        <v>104</v>
      </c>
      <c r="D69" s="52"/>
      <c r="E69" s="58"/>
      <c r="F69" s="54"/>
      <c r="G69" s="66"/>
    </row>
    <row r="70" spans="1:7" ht="14.45" customHeight="1">
      <c r="A70" s="45" t="s">
        <v>105</v>
      </c>
      <c r="B70" s="3" t="s">
        <v>106</v>
      </c>
      <c r="C70" s="4" t="s">
        <v>107</v>
      </c>
      <c r="D70" s="50" t="s">
        <v>108</v>
      </c>
      <c r="E70" s="6" t="s">
        <v>47</v>
      </c>
      <c r="F70" s="54"/>
      <c r="G70" s="56" t="s">
        <v>13</v>
      </c>
    </row>
    <row r="71" spans="1:7">
      <c r="A71" s="45"/>
      <c r="B71" s="3" t="s">
        <v>109</v>
      </c>
      <c r="C71" s="4" t="s">
        <v>110</v>
      </c>
      <c r="D71" s="51"/>
      <c r="E71" s="6" t="s">
        <v>47</v>
      </c>
      <c r="F71" s="54"/>
      <c r="G71" s="58"/>
    </row>
    <row r="72" spans="1:7">
      <c r="A72" s="45"/>
      <c r="B72" s="3" t="s">
        <v>111</v>
      </c>
      <c r="C72" s="4" t="s">
        <v>112</v>
      </c>
      <c r="D72" s="51"/>
      <c r="E72" s="6" t="s">
        <v>113</v>
      </c>
      <c r="F72" s="54"/>
      <c r="G72" s="56" t="s">
        <v>47</v>
      </c>
    </row>
    <row r="73" spans="1:7">
      <c r="A73" s="45"/>
      <c r="B73" s="3" t="s">
        <v>114</v>
      </c>
      <c r="C73" s="4" t="s">
        <v>115</v>
      </c>
      <c r="D73" s="51"/>
      <c r="E73" s="6" t="s">
        <v>116</v>
      </c>
      <c r="F73" s="54"/>
      <c r="G73" s="57"/>
    </row>
    <row r="74" spans="1:7">
      <c r="A74" s="45"/>
      <c r="B74" s="3" t="s">
        <v>117</v>
      </c>
      <c r="C74" s="4" t="s">
        <v>118</v>
      </c>
      <c r="D74" s="51"/>
      <c r="E74" s="6" t="s">
        <v>47</v>
      </c>
      <c r="F74" s="54"/>
      <c r="G74" s="57"/>
    </row>
    <row r="75" spans="1:7">
      <c r="A75" s="45"/>
      <c r="B75" s="73" t="s">
        <v>119</v>
      </c>
      <c r="C75" s="4" t="s">
        <v>120</v>
      </c>
      <c r="D75" s="51"/>
      <c r="E75" s="56" t="s">
        <v>47</v>
      </c>
      <c r="F75" s="54"/>
      <c r="G75" s="57"/>
    </row>
    <row r="76" spans="1:7">
      <c r="A76" s="45"/>
      <c r="B76" s="73"/>
      <c r="C76" s="4" t="s">
        <v>121</v>
      </c>
      <c r="D76" s="51"/>
      <c r="E76" s="58"/>
      <c r="F76" s="54"/>
      <c r="G76" s="57"/>
    </row>
    <row r="77" spans="1:7">
      <c r="A77" s="45"/>
      <c r="B77" s="3" t="s">
        <v>122</v>
      </c>
      <c r="C77" s="4" t="s">
        <v>123</v>
      </c>
      <c r="D77" s="51"/>
      <c r="E77" s="6" t="s">
        <v>47</v>
      </c>
      <c r="F77" s="54"/>
      <c r="G77" s="57"/>
    </row>
    <row r="78" spans="1:7">
      <c r="A78" s="45"/>
      <c r="B78" s="73" t="s">
        <v>124</v>
      </c>
      <c r="C78" s="4" t="s">
        <v>125</v>
      </c>
      <c r="D78" s="51"/>
      <c r="E78" s="56" t="s">
        <v>47</v>
      </c>
      <c r="F78" s="54"/>
      <c r="G78" s="57"/>
    </row>
    <row r="79" spans="1:7">
      <c r="A79" s="45"/>
      <c r="B79" s="73"/>
      <c r="C79" s="4" t="s">
        <v>126</v>
      </c>
      <c r="D79" s="51"/>
      <c r="E79" s="58"/>
      <c r="F79" s="55"/>
      <c r="G79" s="58"/>
    </row>
    <row r="80" spans="1:7" ht="35.450000000000003" customHeight="1">
      <c r="A80" s="49" t="s">
        <v>127</v>
      </c>
      <c r="B80" s="73" t="s">
        <v>128</v>
      </c>
      <c r="C80" s="4" t="s">
        <v>129</v>
      </c>
      <c r="D80" s="50"/>
      <c r="E80" s="56" t="s">
        <v>47</v>
      </c>
      <c r="F80" s="67"/>
      <c r="G80" s="65" t="s">
        <v>47</v>
      </c>
    </row>
    <row r="81" spans="1:7" ht="36" customHeight="1">
      <c r="A81" s="49"/>
      <c r="B81" s="73"/>
      <c r="C81" s="4" t="s">
        <v>130</v>
      </c>
      <c r="D81" s="51"/>
      <c r="E81" s="57"/>
      <c r="F81" s="68"/>
      <c r="G81" s="70"/>
    </row>
    <row r="82" spans="1:7" ht="46.15" customHeight="1">
      <c r="A82" s="49"/>
      <c r="B82" s="73"/>
      <c r="C82" s="4" t="s">
        <v>131</v>
      </c>
      <c r="D82" s="51"/>
      <c r="E82" s="58"/>
      <c r="F82" s="69"/>
      <c r="G82" s="66"/>
    </row>
    <row r="83" spans="1:7" ht="14.45" customHeight="1">
      <c r="A83" s="48" t="s">
        <v>132</v>
      </c>
      <c r="B83" s="73" t="s">
        <v>133</v>
      </c>
      <c r="C83" s="4" t="s">
        <v>134</v>
      </c>
      <c r="D83" s="44"/>
      <c r="E83" s="59" t="s">
        <v>47</v>
      </c>
      <c r="F83" s="60"/>
      <c r="G83" s="61" t="s">
        <v>47</v>
      </c>
    </row>
    <row r="84" spans="1:7">
      <c r="A84" s="48"/>
      <c r="B84" s="73"/>
      <c r="C84" s="4" t="s">
        <v>135</v>
      </c>
      <c r="D84" s="44"/>
      <c r="E84" s="59"/>
      <c r="F84" s="60"/>
      <c r="G84" s="61"/>
    </row>
    <row r="85" spans="1:7" ht="14.45" customHeight="1">
      <c r="A85" s="48"/>
      <c r="B85" s="73" t="s">
        <v>136</v>
      </c>
      <c r="C85" s="4" t="s">
        <v>137</v>
      </c>
      <c r="D85" s="44"/>
      <c r="E85" s="59"/>
      <c r="F85" s="60"/>
      <c r="G85" s="61"/>
    </row>
    <row r="86" spans="1:7">
      <c r="A86" s="48"/>
      <c r="B86" s="73"/>
      <c r="C86" s="4" t="s">
        <v>138</v>
      </c>
      <c r="D86" s="44"/>
      <c r="E86" s="59"/>
      <c r="F86" s="60"/>
      <c r="G86" s="61"/>
    </row>
    <row r="87" spans="1:7">
      <c r="A87" s="48"/>
      <c r="B87" s="73"/>
      <c r="C87" s="4" t="s">
        <v>139</v>
      </c>
      <c r="D87" s="44"/>
      <c r="E87" s="59"/>
      <c r="F87" s="60"/>
      <c r="G87" s="61"/>
    </row>
    <row r="88" spans="1:7" ht="14.45" customHeight="1">
      <c r="A88" s="45" t="s">
        <v>140</v>
      </c>
      <c r="B88" s="73" t="s">
        <v>140</v>
      </c>
      <c r="C88" s="4" t="s">
        <v>141</v>
      </c>
      <c r="D88" s="44"/>
      <c r="E88" s="59" t="s">
        <v>47</v>
      </c>
      <c r="F88" s="60"/>
      <c r="G88" s="61" t="s">
        <v>47</v>
      </c>
    </row>
    <row r="89" spans="1:7">
      <c r="A89" s="45"/>
      <c r="B89" s="73"/>
      <c r="C89" s="4" t="s">
        <v>142</v>
      </c>
      <c r="D89" s="44"/>
      <c r="E89" s="59"/>
      <c r="F89" s="60"/>
      <c r="G89" s="61"/>
    </row>
    <row r="90" spans="1:7">
      <c r="A90" s="45"/>
      <c r="B90" s="73"/>
      <c r="C90" s="4" t="s">
        <v>143</v>
      </c>
      <c r="D90" s="44"/>
      <c r="E90" s="59"/>
      <c r="F90" s="60"/>
      <c r="G90" s="61"/>
    </row>
    <row r="91" spans="1:7">
      <c r="A91" s="45"/>
      <c r="B91" s="73"/>
      <c r="C91" s="4" t="s">
        <v>144</v>
      </c>
      <c r="D91" s="44"/>
      <c r="E91" s="59"/>
      <c r="F91" s="60"/>
      <c r="G91" s="61"/>
    </row>
    <row r="92" spans="1:7">
      <c r="A92" s="14"/>
      <c r="B92" s="14"/>
      <c r="C92" s="15"/>
      <c r="D92" s="13"/>
      <c r="E92" s="14"/>
      <c r="F92" s="13"/>
      <c r="G92" s="13"/>
    </row>
  </sheetData>
  <mergeCells count="61">
    <mergeCell ref="G88:G91"/>
    <mergeCell ref="F80:F82"/>
    <mergeCell ref="G80:G82"/>
    <mergeCell ref="A83:A87"/>
    <mergeCell ref="B83:B84"/>
    <mergeCell ref="D83:D87"/>
    <mergeCell ref="E83:E87"/>
    <mergeCell ref="F83:F87"/>
    <mergeCell ref="G83:G87"/>
    <mergeCell ref="B85:B87"/>
    <mergeCell ref="A88:A91"/>
    <mergeCell ref="B88:B91"/>
    <mergeCell ref="D88:D91"/>
    <mergeCell ref="E88:E91"/>
    <mergeCell ref="F88:F91"/>
    <mergeCell ref="A80:A82"/>
    <mergeCell ref="B80:B82"/>
    <mergeCell ref="D80:D82"/>
    <mergeCell ref="E80:E82"/>
    <mergeCell ref="A70:A79"/>
    <mergeCell ref="D70:D79"/>
    <mergeCell ref="B68:B69"/>
    <mergeCell ref="E68:E69"/>
    <mergeCell ref="G68:G69"/>
    <mergeCell ref="E75:E76"/>
    <mergeCell ref="B78:B79"/>
    <mergeCell ref="E78:E79"/>
    <mergeCell ref="B62:B63"/>
    <mergeCell ref="E62:E63"/>
    <mergeCell ref="B64:B65"/>
    <mergeCell ref="E64:E65"/>
    <mergeCell ref="B66:B67"/>
    <mergeCell ref="E66:E67"/>
    <mergeCell ref="B50:B54"/>
    <mergeCell ref="D50:D69"/>
    <mergeCell ref="E50:E54"/>
    <mergeCell ref="G50:G67"/>
    <mergeCell ref="A55:A69"/>
    <mergeCell ref="B55:B57"/>
    <mergeCell ref="E55:E57"/>
    <mergeCell ref="B58:B59"/>
    <mergeCell ref="E58:E59"/>
    <mergeCell ref="F2:F79"/>
    <mergeCell ref="G2:G49"/>
    <mergeCell ref="G70:G71"/>
    <mergeCell ref="G72:G79"/>
    <mergeCell ref="B75:B76"/>
    <mergeCell ref="B60:B61"/>
    <mergeCell ref="E60:E61"/>
    <mergeCell ref="E41:E44"/>
    <mergeCell ref="B45:B46"/>
    <mergeCell ref="D45:D49"/>
    <mergeCell ref="E45:E46"/>
    <mergeCell ref="B47:B48"/>
    <mergeCell ref="E47:E48"/>
    <mergeCell ref="D2:D44"/>
    <mergeCell ref="E2:E4"/>
    <mergeCell ref="E14:E16"/>
    <mergeCell ref="B32:B40"/>
    <mergeCell ref="E37:E38"/>
    <mergeCell ref="B41:B44"/>
  </mergeCells>
  <conditionalFormatting sqref="E5">
    <cfRule type="cellIs" dxfId="11" priority="3" operator="equal">
      <formula>"Vacancy"</formula>
    </cfRule>
    <cfRule type="cellIs" dxfId="10" priority="4" operator="equal">
      <formula>"Vacancy"</formula>
    </cfRule>
  </conditionalFormatting>
  <conditionalFormatting sqref="E14 E17:E25">
    <cfRule type="cellIs" dxfId="9" priority="1" operator="equal">
      <formula>"Vacancy"</formula>
    </cfRule>
    <cfRule type="cellIs" dxfId="8" priority="2" operator="equal">
      <formula>"Vacancy"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237AC-9FC6-4D8E-9FF5-E4A9E6B3461A}">
  <dimension ref="A1:G92"/>
  <sheetViews>
    <sheetView tabSelected="1" zoomScale="92" zoomScaleNormal="92" workbookViewId="0">
      <selection activeCell="K75" sqref="K75"/>
    </sheetView>
  </sheetViews>
  <sheetFormatPr defaultRowHeight="14.45"/>
  <cols>
    <col min="1" max="1" width="8.28515625" style="1" customWidth="1"/>
    <col min="2" max="2" width="14.7109375" style="2" customWidth="1"/>
    <col min="3" max="3" width="25.7109375" style="2" bestFit="1" customWidth="1"/>
    <col min="4" max="4" width="15.140625" bestFit="1" customWidth="1"/>
    <col min="5" max="5" width="20.5703125" style="1" bestFit="1" customWidth="1"/>
    <col min="6" max="6" width="19.28515625" bestFit="1" customWidth="1"/>
    <col min="7" max="7" width="25.85546875" bestFit="1" customWidth="1"/>
  </cols>
  <sheetData>
    <row r="1" spans="1:7" ht="19.899999999999999" customHeight="1">
      <c r="A1" s="7" t="s">
        <v>0</v>
      </c>
      <c r="B1" s="39" t="s">
        <v>1</v>
      </c>
      <c r="C1" s="9" t="s">
        <v>2</v>
      </c>
      <c r="D1" s="10" t="s">
        <v>3</v>
      </c>
      <c r="E1" s="11" t="s">
        <v>4</v>
      </c>
      <c r="F1" s="10" t="s">
        <v>5</v>
      </c>
      <c r="G1" s="12" t="s">
        <v>6</v>
      </c>
    </row>
    <row r="2" spans="1:7" ht="14.45" customHeight="1">
      <c r="A2" s="42" t="s">
        <v>7</v>
      </c>
      <c r="B2" s="43" t="s">
        <v>8</v>
      </c>
      <c r="C2" s="4" t="s">
        <v>9</v>
      </c>
      <c r="D2" s="53" t="s">
        <v>10</v>
      </c>
      <c r="E2" s="59" t="s">
        <v>11</v>
      </c>
      <c r="F2" s="53" t="s">
        <v>12</v>
      </c>
      <c r="G2" s="62" t="s">
        <v>13</v>
      </c>
    </row>
    <row r="3" spans="1:7">
      <c r="A3" s="42"/>
      <c r="B3" s="43"/>
      <c r="C3" s="4" t="s">
        <v>14</v>
      </c>
      <c r="D3" s="54"/>
      <c r="E3" s="59"/>
      <c r="F3" s="54"/>
      <c r="G3" s="63"/>
    </row>
    <row r="4" spans="1:7">
      <c r="A4" s="42"/>
      <c r="B4" s="43"/>
      <c r="C4" s="4" t="s">
        <v>15</v>
      </c>
      <c r="D4" s="54"/>
      <c r="E4" s="59"/>
      <c r="F4" s="54"/>
      <c r="G4" s="63"/>
    </row>
    <row r="5" spans="1:7">
      <c r="A5" s="42"/>
      <c r="B5" s="43"/>
      <c r="C5" s="4" t="s">
        <v>16</v>
      </c>
      <c r="D5" s="54"/>
      <c r="E5" s="6" t="s">
        <v>17</v>
      </c>
      <c r="F5" s="54"/>
      <c r="G5" s="63"/>
    </row>
    <row r="6" spans="1:7">
      <c r="A6" s="42"/>
      <c r="B6" s="43"/>
      <c r="C6" s="4" t="s">
        <v>18</v>
      </c>
      <c r="D6" s="54"/>
      <c r="E6" s="6"/>
      <c r="F6" s="54"/>
      <c r="G6" s="63"/>
    </row>
    <row r="7" spans="1:7">
      <c r="A7" s="42"/>
      <c r="B7" s="43"/>
      <c r="C7" s="5" t="s">
        <v>19</v>
      </c>
      <c r="D7" s="54"/>
      <c r="E7" s="6" t="s">
        <v>20</v>
      </c>
      <c r="F7" s="54"/>
      <c r="G7" s="63"/>
    </row>
    <row r="8" spans="1:7">
      <c r="A8" s="42"/>
      <c r="B8" s="43"/>
      <c r="C8" s="5" t="s">
        <v>21</v>
      </c>
      <c r="D8" s="54"/>
      <c r="E8" s="6"/>
      <c r="F8" s="54"/>
      <c r="G8" s="63"/>
    </row>
    <row r="9" spans="1:7">
      <c r="A9" s="42"/>
      <c r="B9" s="43"/>
      <c r="C9" s="5" t="s">
        <v>22</v>
      </c>
      <c r="D9" s="54"/>
      <c r="E9" s="6"/>
      <c r="F9" s="54"/>
      <c r="G9" s="63"/>
    </row>
    <row r="10" spans="1:7">
      <c r="A10" s="42"/>
      <c r="B10" s="43"/>
      <c r="C10" s="4" t="s">
        <v>23</v>
      </c>
      <c r="D10" s="54"/>
      <c r="E10" s="6"/>
      <c r="F10" s="54"/>
      <c r="G10" s="63"/>
    </row>
    <row r="11" spans="1:7">
      <c r="A11" s="42"/>
      <c r="B11" s="43"/>
      <c r="C11" s="5" t="s">
        <v>24</v>
      </c>
      <c r="D11" s="54"/>
      <c r="E11" s="6"/>
      <c r="F11" s="54"/>
      <c r="G11" s="63"/>
    </row>
    <row r="12" spans="1:7">
      <c r="A12" s="42"/>
      <c r="B12" s="43"/>
      <c r="C12" s="4" t="s">
        <v>25</v>
      </c>
      <c r="D12" s="54"/>
      <c r="E12" s="6"/>
      <c r="F12" s="54"/>
      <c r="G12" s="63"/>
    </row>
    <row r="13" spans="1:7">
      <c r="A13" s="42"/>
      <c r="B13" s="43"/>
      <c r="C13" s="4" t="s">
        <v>26</v>
      </c>
      <c r="D13" s="54"/>
      <c r="E13" s="6"/>
      <c r="F13" s="54"/>
      <c r="G13" s="63"/>
    </row>
    <row r="14" spans="1:7">
      <c r="A14" s="42"/>
      <c r="B14" s="43"/>
      <c r="C14" s="4" t="s">
        <v>27</v>
      </c>
      <c r="D14" s="54"/>
      <c r="E14" s="59" t="s">
        <v>17</v>
      </c>
      <c r="F14" s="54"/>
      <c r="G14" s="63"/>
    </row>
    <row r="15" spans="1:7">
      <c r="A15" s="42"/>
      <c r="B15" s="43"/>
      <c r="C15" s="4" t="s">
        <v>28</v>
      </c>
      <c r="D15" s="54"/>
      <c r="E15" s="59"/>
      <c r="F15" s="54"/>
      <c r="G15" s="63"/>
    </row>
    <row r="16" spans="1:7">
      <c r="A16" s="42"/>
      <c r="B16" s="43"/>
      <c r="C16" s="4" t="s">
        <v>29</v>
      </c>
      <c r="D16" s="54"/>
      <c r="E16" s="59"/>
      <c r="F16" s="54"/>
      <c r="G16" s="63"/>
    </row>
    <row r="17" spans="1:7">
      <c r="A17" s="42"/>
      <c r="B17" s="43"/>
      <c r="C17" s="5" t="s">
        <v>30</v>
      </c>
      <c r="D17" s="54"/>
      <c r="E17" s="6"/>
      <c r="F17" s="54"/>
      <c r="G17" s="63"/>
    </row>
    <row r="18" spans="1:7">
      <c r="A18" s="42"/>
      <c r="B18" s="43"/>
      <c r="C18" s="4" t="s">
        <v>31</v>
      </c>
      <c r="D18" s="54"/>
      <c r="E18" s="6" t="s">
        <v>145</v>
      </c>
      <c r="F18" s="54"/>
      <c r="G18" s="63"/>
    </row>
    <row r="19" spans="1:7">
      <c r="A19" s="42"/>
      <c r="B19" s="43"/>
      <c r="C19" s="5" t="s">
        <v>32</v>
      </c>
      <c r="D19" s="54"/>
      <c r="E19" s="6"/>
      <c r="F19" s="54"/>
      <c r="G19" s="63"/>
    </row>
    <row r="20" spans="1:7">
      <c r="A20" s="42"/>
      <c r="B20" s="43"/>
      <c r="C20" s="5" t="s">
        <v>33</v>
      </c>
      <c r="D20" s="54"/>
      <c r="E20" s="6"/>
      <c r="F20" s="54"/>
      <c r="G20" s="63"/>
    </row>
    <row r="21" spans="1:7">
      <c r="A21" s="42"/>
      <c r="B21" s="43"/>
      <c r="C21" s="5" t="s">
        <v>34</v>
      </c>
      <c r="D21" s="54"/>
      <c r="E21" s="6"/>
      <c r="F21" s="54"/>
      <c r="G21" s="63"/>
    </row>
    <row r="22" spans="1:7">
      <c r="A22" s="42"/>
      <c r="B22" s="43"/>
      <c r="C22" s="5" t="s">
        <v>35</v>
      </c>
      <c r="D22" s="54"/>
      <c r="E22" s="6"/>
      <c r="F22" s="54"/>
      <c r="G22" s="63"/>
    </row>
    <row r="23" spans="1:7">
      <c r="A23" s="42"/>
      <c r="B23" s="43"/>
      <c r="C23" s="5" t="s">
        <v>36</v>
      </c>
      <c r="D23" s="54"/>
      <c r="E23" s="6"/>
      <c r="F23" s="54"/>
      <c r="G23" s="63"/>
    </row>
    <row r="24" spans="1:7">
      <c r="A24" s="42"/>
      <c r="B24" s="43"/>
      <c r="C24" s="5" t="s">
        <v>37</v>
      </c>
      <c r="D24" s="54"/>
      <c r="E24" s="6"/>
      <c r="F24" s="54"/>
      <c r="G24" s="63"/>
    </row>
    <row r="25" spans="1:7">
      <c r="A25" s="42"/>
      <c r="B25" s="43"/>
      <c r="C25" s="5" t="s">
        <v>38</v>
      </c>
      <c r="D25" s="54"/>
      <c r="E25" s="6"/>
      <c r="F25" s="54"/>
      <c r="G25" s="63"/>
    </row>
    <row r="26" spans="1:7">
      <c r="A26" s="42"/>
      <c r="B26" s="43"/>
      <c r="C26" s="5" t="s">
        <v>39</v>
      </c>
      <c r="D26" s="54"/>
      <c r="E26" s="6"/>
      <c r="F26" s="54"/>
      <c r="G26" s="63"/>
    </row>
    <row r="27" spans="1:7">
      <c r="A27" s="42"/>
      <c r="B27" s="43"/>
      <c r="C27" s="4" t="s">
        <v>40</v>
      </c>
      <c r="D27" s="54"/>
      <c r="E27" s="6"/>
      <c r="F27" s="54"/>
      <c r="G27" s="63"/>
    </row>
    <row r="28" spans="1:7">
      <c r="A28" s="42"/>
      <c r="B28" s="43"/>
      <c r="C28" s="4" t="s">
        <v>41</v>
      </c>
      <c r="D28" s="54"/>
      <c r="E28" s="6"/>
      <c r="F28" s="54"/>
      <c r="G28" s="63"/>
    </row>
    <row r="29" spans="1:7">
      <c r="A29" s="42"/>
      <c r="B29" s="43"/>
      <c r="C29" s="4" t="s">
        <v>42</v>
      </c>
      <c r="D29" s="54"/>
      <c r="E29" s="6"/>
      <c r="F29" s="54"/>
      <c r="G29" s="63"/>
    </row>
    <row r="30" spans="1:7">
      <c r="A30" s="42"/>
      <c r="B30" s="43"/>
      <c r="C30" s="4" t="s">
        <v>43</v>
      </c>
      <c r="D30" s="54"/>
      <c r="E30" s="6"/>
      <c r="F30" s="54"/>
      <c r="G30" s="63"/>
    </row>
    <row r="31" spans="1:7">
      <c r="A31" s="42"/>
      <c r="B31" s="43"/>
      <c r="C31" s="4" t="s">
        <v>44</v>
      </c>
      <c r="D31" s="54"/>
      <c r="E31" s="6"/>
      <c r="F31" s="54"/>
      <c r="G31" s="63"/>
    </row>
    <row r="32" spans="1:7" ht="24" customHeight="1">
      <c r="A32" s="42"/>
      <c r="B32" s="43" t="s">
        <v>45</v>
      </c>
      <c r="C32" s="4" t="s">
        <v>45</v>
      </c>
      <c r="D32" s="54"/>
      <c r="E32" s="6" t="s">
        <v>20</v>
      </c>
      <c r="F32" s="54"/>
      <c r="G32" s="63"/>
    </row>
    <row r="33" spans="1:7" ht="24" customHeight="1">
      <c r="A33" s="42"/>
      <c r="B33" s="43"/>
      <c r="C33" s="4" t="s">
        <v>46</v>
      </c>
      <c r="D33" s="54"/>
      <c r="E33" s="6" t="s">
        <v>47</v>
      </c>
      <c r="F33" s="54"/>
      <c r="G33" s="63"/>
    </row>
    <row r="34" spans="1:7" ht="24" customHeight="1">
      <c r="A34" s="42"/>
      <c r="B34" s="43"/>
      <c r="C34" s="4" t="s">
        <v>48</v>
      </c>
      <c r="D34" s="54"/>
      <c r="E34" s="6" t="s">
        <v>146</v>
      </c>
      <c r="F34" s="54"/>
      <c r="G34" s="63"/>
    </row>
    <row r="35" spans="1:7" ht="24" customHeight="1">
      <c r="A35" s="42"/>
      <c r="B35" s="43"/>
      <c r="C35" s="4" t="s">
        <v>49</v>
      </c>
      <c r="D35" s="54"/>
      <c r="E35" s="6" t="s">
        <v>47</v>
      </c>
      <c r="F35" s="54"/>
      <c r="G35" s="63"/>
    </row>
    <row r="36" spans="1:7" ht="24" customHeight="1">
      <c r="A36" s="42"/>
      <c r="B36" s="43"/>
      <c r="C36" s="4" t="s">
        <v>50</v>
      </c>
      <c r="D36" s="54"/>
      <c r="E36" s="6" t="s">
        <v>47</v>
      </c>
      <c r="F36" s="54"/>
      <c r="G36" s="63"/>
    </row>
    <row r="37" spans="1:7" ht="24" customHeight="1">
      <c r="A37" s="42"/>
      <c r="B37" s="43"/>
      <c r="C37" s="4" t="s">
        <v>51</v>
      </c>
      <c r="D37" s="54"/>
      <c r="E37" s="59" t="s">
        <v>146</v>
      </c>
      <c r="F37" s="54"/>
      <c r="G37" s="63"/>
    </row>
    <row r="38" spans="1:7" ht="24" customHeight="1">
      <c r="A38" s="42"/>
      <c r="B38" s="43"/>
      <c r="C38" s="4" t="s">
        <v>53</v>
      </c>
      <c r="D38" s="54"/>
      <c r="E38" s="59"/>
      <c r="F38" s="54"/>
      <c r="G38" s="63"/>
    </row>
    <row r="39" spans="1:7" ht="24" customHeight="1">
      <c r="A39" s="42"/>
      <c r="B39" s="43"/>
      <c r="C39" s="4" t="s">
        <v>54</v>
      </c>
      <c r="D39" s="54"/>
      <c r="E39" s="6" t="s">
        <v>47</v>
      </c>
      <c r="F39" s="54"/>
      <c r="G39" s="63"/>
    </row>
    <row r="40" spans="1:7" ht="19.899999999999999" customHeight="1">
      <c r="A40" s="42"/>
      <c r="B40" s="43"/>
      <c r="C40" s="4" t="s">
        <v>55</v>
      </c>
      <c r="D40" s="54"/>
      <c r="E40" s="6" t="s">
        <v>47</v>
      </c>
      <c r="F40" s="54"/>
      <c r="G40" s="63"/>
    </row>
    <row r="41" spans="1:7" ht="14.45" customHeight="1">
      <c r="A41" s="42"/>
      <c r="B41" s="44" t="s">
        <v>56</v>
      </c>
      <c r="C41" s="4" t="s">
        <v>57</v>
      </c>
      <c r="D41" s="54"/>
      <c r="E41" s="56" t="s">
        <v>47</v>
      </c>
      <c r="F41" s="54"/>
      <c r="G41" s="63"/>
    </row>
    <row r="42" spans="1:7">
      <c r="A42" s="42"/>
      <c r="B42" s="44"/>
      <c r="C42" s="4" t="s">
        <v>58</v>
      </c>
      <c r="D42" s="54"/>
      <c r="E42" s="57"/>
      <c r="F42" s="54"/>
      <c r="G42" s="63"/>
    </row>
    <row r="43" spans="1:7">
      <c r="A43" s="42"/>
      <c r="B43" s="44"/>
      <c r="C43" s="4" t="s">
        <v>59</v>
      </c>
      <c r="D43" s="54"/>
      <c r="E43" s="57"/>
      <c r="F43" s="54"/>
      <c r="G43" s="63"/>
    </row>
    <row r="44" spans="1:7" ht="22.15" customHeight="1">
      <c r="A44" s="42"/>
      <c r="B44" s="44"/>
      <c r="C44" s="4" t="s">
        <v>60</v>
      </c>
      <c r="D44" s="55"/>
      <c r="E44" s="58"/>
      <c r="F44" s="54"/>
      <c r="G44" s="63"/>
    </row>
    <row r="45" spans="1:7" ht="24.6" customHeight="1">
      <c r="A45" s="45" t="s">
        <v>61</v>
      </c>
      <c r="B45" s="46" t="s">
        <v>62</v>
      </c>
      <c r="C45" s="4" t="s">
        <v>63</v>
      </c>
      <c r="D45" s="50" t="s">
        <v>47</v>
      </c>
      <c r="E45" s="56" t="s">
        <v>47</v>
      </c>
      <c r="F45" s="54"/>
      <c r="G45" s="63"/>
    </row>
    <row r="46" spans="1:7" ht="21.6" customHeight="1">
      <c r="A46" s="45"/>
      <c r="B46" s="47"/>
      <c r="C46" s="4" t="s">
        <v>64</v>
      </c>
      <c r="D46" s="51"/>
      <c r="E46" s="58"/>
      <c r="F46" s="54"/>
      <c r="G46" s="63"/>
    </row>
    <row r="47" spans="1:7" ht="14.45" customHeight="1">
      <c r="A47" s="45"/>
      <c r="B47" s="46" t="s">
        <v>65</v>
      </c>
      <c r="C47" s="4" t="s">
        <v>66</v>
      </c>
      <c r="D47" s="51"/>
      <c r="E47" s="56" t="s">
        <v>47</v>
      </c>
      <c r="F47" s="54"/>
      <c r="G47" s="63"/>
    </row>
    <row r="48" spans="1:7" ht="21.6" customHeight="1">
      <c r="A48" s="45"/>
      <c r="B48" s="47"/>
      <c r="C48" s="4" t="s">
        <v>67</v>
      </c>
      <c r="D48" s="51"/>
      <c r="E48" s="58"/>
      <c r="F48" s="54"/>
      <c r="G48" s="63"/>
    </row>
    <row r="49" spans="1:7" ht="14.45" customHeight="1">
      <c r="A49" s="45"/>
      <c r="B49" s="40" t="s">
        <v>68</v>
      </c>
      <c r="C49" s="4" t="s">
        <v>69</v>
      </c>
      <c r="D49" s="52"/>
      <c r="E49" s="6"/>
      <c r="F49" s="54"/>
      <c r="G49" s="64"/>
    </row>
    <row r="50" spans="1:7" ht="26.45" customHeight="1">
      <c r="A50" s="45" t="s">
        <v>70</v>
      </c>
      <c r="B50" s="44" t="s">
        <v>70</v>
      </c>
      <c r="C50" s="4" t="s">
        <v>71</v>
      </c>
      <c r="D50" s="50" t="s">
        <v>147</v>
      </c>
      <c r="E50" s="56" t="s">
        <v>148</v>
      </c>
      <c r="F50" s="54"/>
      <c r="G50" s="62" t="s">
        <v>74</v>
      </c>
    </row>
    <row r="51" spans="1:7" ht="21" customHeight="1">
      <c r="A51" s="45"/>
      <c r="B51" s="44"/>
      <c r="C51" s="4" t="s">
        <v>75</v>
      </c>
      <c r="D51" s="51"/>
      <c r="E51" s="57"/>
      <c r="F51" s="54"/>
      <c r="G51" s="63"/>
    </row>
    <row r="52" spans="1:7" ht="18.600000000000001" customHeight="1">
      <c r="A52" s="45"/>
      <c r="B52" s="44"/>
      <c r="C52" s="4" t="s">
        <v>76</v>
      </c>
      <c r="D52" s="51"/>
      <c r="E52" s="57"/>
      <c r="F52" s="54"/>
      <c r="G52" s="63"/>
    </row>
    <row r="53" spans="1:7" ht="32.450000000000003" customHeight="1">
      <c r="A53" s="45"/>
      <c r="B53" s="44"/>
      <c r="C53" s="4" t="s">
        <v>77</v>
      </c>
      <c r="D53" s="51"/>
      <c r="E53" s="57"/>
      <c r="F53" s="54"/>
      <c r="G53" s="63"/>
    </row>
    <row r="54" spans="1:7">
      <c r="A54" s="45"/>
      <c r="B54" s="44"/>
      <c r="C54" s="4" t="s">
        <v>78</v>
      </c>
      <c r="D54" s="51"/>
      <c r="E54" s="58"/>
      <c r="F54" s="54"/>
      <c r="G54" s="63"/>
    </row>
    <row r="55" spans="1:7" ht="14.45" customHeight="1">
      <c r="A55" s="45" t="s">
        <v>79</v>
      </c>
      <c r="B55" s="41" t="s">
        <v>80</v>
      </c>
      <c r="C55" s="4" t="s">
        <v>81</v>
      </c>
      <c r="D55" s="51"/>
      <c r="E55" s="56" t="s">
        <v>47</v>
      </c>
      <c r="F55" s="54"/>
      <c r="G55" s="63"/>
    </row>
    <row r="56" spans="1:7" ht="14.45" customHeight="1">
      <c r="A56" s="45"/>
      <c r="B56" s="41"/>
      <c r="C56" s="4" t="s">
        <v>82</v>
      </c>
      <c r="D56" s="51"/>
      <c r="E56" s="57"/>
      <c r="F56" s="54"/>
      <c r="G56" s="63"/>
    </row>
    <row r="57" spans="1:7" ht="14.45" customHeight="1">
      <c r="A57" s="45"/>
      <c r="B57" s="41"/>
      <c r="C57" s="4" t="s">
        <v>83</v>
      </c>
      <c r="D57" s="51"/>
      <c r="E57" s="58"/>
      <c r="F57" s="54"/>
      <c r="G57" s="63"/>
    </row>
    <row r="58" spans="1:7" ht="14.45" customHeight="1">
      <c r="A58" s="45"/>
      <c r="B58" s="41" t="s">
        <v>84</v>
      </c>
      <c r="C58" s="4" t="s">
        <v>85</v>
      </c>
      <c r="D58" s="51"/>
      <c r="E58" s="56" t="s">
        <v>149</v>
      </c>
      <c r="F58" s="54"/>
      <c r="G58" s="63"/>
    </row>
    <row r="59" spans="1:7" ht="14.45" customHeight="1">
      <c r="A59" s="45"/>
      <c r="B59" s="41"/>
      <c r="C59" s="4" t="s">
        <v>87</v>
      </c>
      <c r="D59" s="51"/>
      <c r="E59" s="58"/>
      <c r="F59" s="54"/>
      <c r="G59" s="63"/>
    </row>
    <row r="60" spans="1:7" ht="14.45" customHeight="1">
      <c r="A60" s="45"/>
      <c r="B60" s="41" t="s">
        <v>88</v>
      </c>
      <c r="C60" s="4" t="s">
        <v>89</v>
      </c>
      <c r="D60" s="51"/>
      <c r="E60" s="56" t="s">
        <v>96</v>
      </c>
      <c r="F60" s="54"/>
      <c r="G60" s="63"/>
    </row>
    <row r="61" spans="1:7" ht="14.45" customHeight="1">
      <c r="A61" s="45"/>
      <c r="B61" s="41"/>
      <c r="C61" s="4" t="s">
        <v>90</v>
      </c>
      <c r="D61" s="51"/>
      <c r="E61" s="58"/>
      <c r="F61" s="54"/>
      <c r="G61" s="63"/>
    </row>
    <row r="62" spans="1:7" ht="14.45" customHeight="1">
      <c r="A62" s="45"/>
      <c r="B62" s="41" t="s">
        <v>91</v>
      </c>
      <c r="C62" s="4" t="s">
        <v>92</v>
      </c>
      <c r="D62" s="51"/>
      <c r="E62" s="56" t="s">
        <v>47</v>
      </c>
      <c r="F62" s="54"/>
      <c r="G62" s="63"/>
    </row>
    <row r="63" spans="1:7" ht="14.45" customHeight="1">
      <c r="A63" s="45"/>
      <c r="B63" s="41"/>
      <c r="C63" s="4" t="s">
        <v>93</v>
      </c>
      <c r="D63" s="51"/>
      <c r="E63" s="58"/>
      <c r="F63" s="54"/>
      <c r="G63" s="63"/>
    </row>
    <row r="64" spans="1:7" ht="14.45" customHeight="1">
      <c r="A64" s="45"/>
      <c r="B64" s="41" t="s">
        <v>94</v>
      </c>
      <c r="C64" s="4" t="s">
        <v>95</v>
      </c>
      <c r="D64" s="51"/>
      <c r="E64" s="56" t="s">
        <v>96</v>
      </c>
      <c r="F64" s="54"/>
      <c r="G64" s="63"/>
    </row>
    <row r="65" spans="1:7" ht="14.45" customHeight="1">
      <c r="A65" s="45"/>
      <c r="B65" s="41"/>
      <c r="C65" s="4" t="s">
        <v>97</v>
      </c>
      <c r="D65" s="51"/>
      <c r="E65" s="58"/>
      <c r="F65" s="54"/>
      <c r="G65" s="63"/>
    </row>
    <row r="66" spans="1:7" ht="14.45" customHeight="1">
      <c r="A66" s="45"/>
      <c r="B66" s="41" t="s">
        <v>98</v>
      </c>
      <c r="C66" s="4" t="s">
        <v>99</v>
      </c>
      <c r="D66" s="51"/>
      <c r="E66" s="56" t="s">
        <v>150</v>
      </c>
      <c r="F66" s="54"/>
      <c r="G66" s="63"/>
    </row>
    <row r="67" spans="1:7" ht="14.45" customHeight="1">
      <c r="A67" s="45"/>
      <c r="B67" s="41"/>
      <c r="C67" s="4" t="s">
        <v>101</v>
      </c>
      <c r="D67" s="51"/>
      <c r="E67" s="58"/>
      <c r="F67" s="54"/>
      <c r="G67" s="63"/>
    </row>
    <row r="68" spans="1:7" ht="14.45" customHeight="1">
      <c r="A68" s="45"/>
      <c r="B68" s="41" t="s">
        <v>102</v>
      </c>
      <c r="C68" s="4" t="s">
        <v>103</v>
      </c>
      <c r="D68" s="51"/>
      <c r="E68" s="56" t="s">
        <v>47</v>
      </c>
      <c r="F68" s="54"/>
      <c r="G68" s="65" t="s">
        <v>47</v>
      </c>
    </row>
    <row r="69" spans="1:7" ht="14.45" customHeight="1">
      <c r="A69" s="45"/>
      <c r="B69" s="41"/>
      <c r="C69" s="4" t="s">
        <v>104</v>
      </c>
      <c r="D69" s="52"/>
      <c r="E69" s="58"/>
      <c r="F69" s="54"/>
      <c r="G69" s="66"/>
    </row>
    <row r="70" spans="1:7" ht="14.45" customHeight="1">
      <c r="A70" s="45" t="s">
        <v>105</v>
      </c>
      <c r="B70" s="40" t="s">
        <v>106</v>
      </c>
      <c r="C70" s="4" t="s">
        <v>107</v>
      </c>
      <c r="D70" s="50" t="s">
        <v>151</v>
      </c>
      <c r="E70" s="6" t="s">
        <v>47</v>
      </c>
      <c r="F70" s="54"/>
      <c r="G70" s="56" t="s">
        <v>13</v>
      </c>
    </row>
    <row r="71" spans="1:7">
      <c r="A71" s="45"/>
      <c r="B71" s="40" t="s">
        <v>109</v>
      </c>
      <c r="C71" s="4" t="s">
        <v>110</v>
      </c>
      <c r="D71" s="51"/>
      <c r="E71" s="6" t="s">
        <v>47</v>
      </c>
      <c r="F71" s="54"/>
      <c r="G71" s="58"/>
    </row>
    <row r="72" spans="1:7">
      <c r="A72" s="45"/>
      <c r="B72" s="40" t="s">
        <v>111</v>
      </c>
      <c r="C72" s="4" t="s">
        <v>112</v>
      </c>
      <c r="D72" s="51"/>
      <c r="E72" s="6" t="s">
        <v>152</v>
      </c>
      <c r="F72" s="54"/>
      <c r="G72" s="56" t="s">
        <v>47</v>
      </c>
    </row>
    <row r="73" spans="1:7">
      <c r="A73" s="45"/>
      <c r="B73" s="40" t="s">
        <v>114</v>
      </c>
      <c r="C73" s="4" t="s">
        <v>115</v>
      </c>
      <c r="D73" s="51"/>
      <c r="E73" s="6" t="s">
        <v>116</v>
      </c>
      <c r="F73" s="54"/>
      <c r="G73" s="57"/>
    </row>
    <row r="74" spans="1:7">
      <c r="A74" s="45"/>
      <c r="B74" s="40" t="s">
        <v>117</v>
      </c>
      <c r="C74" s="4" t="s">
        <v>118</v>
      </c>
      <c r="D74" s="51"/>
      <c r="E74" s="6" t="s">
        <v>47</v>
      </c>
      <c r="F74" s="54"/>
      <c r="G74" s="57"/>
    </row>
    <row r="75" spans="1:7">
      <c r="A75" s="45"/>
      <c r="B75" s="41" t="s">
        <v>119</v>
      </c>
      <c r="C75" s="4" t="s">
        <v>120</v>
      </c>
      <c r="D75" s="51"/>
      <c r="E75" s="56" t="s">
        <v>47</v>
      </c>
      <c r="F75" s="54"/>
      <c r="G75" s="57"/>
    </row>
    <row r="76" spans="1:7">
      <c r="A76" s="45"/>
      <c r="B76" s="41"/>
      <c r="C76" s="4" t="s">
        <v>121</v>
      </c>
      <c r="D76" s="51"/>
      <c r="E76" s="58"/>
      <c r="F76" s="54"/>
      <c r="G76" s="57"/>
    </row>
    <row r="77" spans="1:7">
      <c r="A77" s="45"/>
      <c r="B77" s="40" t="s">
        <v>122</v>
      </c>
      <c r="C77" s="4" t="s">
        <v>123</v>
      </c>
      <c r="D77" s="51"/>
      <c r="E77" s="6" t="s">
        <v>47</v>
      </c>
      <c r="F77" s="54"/>
      <c r="G77" s="57"/>
    </row>
    <row r="78" spans="1:7">
      <c r="A78" s="45"/>
      <c r="B78" s="41" t="s">
        <v>124</v>
      </c>
      <c r="C78" s="4" t="s">
        <v>125</v>
      </c>
      <c r="D78" s="51"/>
      <c r="E78" s="56" t="s">
        <v>47</v>
      </c>
      <c r="F78" s="54"/>
      <c r="G78" s="57"/>
    </row>
    <row r="79" spans="1:7">
      <c r="A79" s="45"/>
      <c r="B79" s="41"/>
      <c r="C79" s="4" t="s">
        <v>126</v>
      </c>
      <c r="D79" s="51"/>
      <c r="E79" s="58"/>
      <c r="F79" s="55"/>
      <c r="G79" s="58"/>
    </row>
    <row r="80" spans="1:7" ht="35.450000000000003" customHeight="1">
      <c r="A80" s="49" t="s">
        <v>127</v>
      </c>
      <c r="B80" s="41" t="s">
        <v>128</v>
      </c>
      <c r="C80" s="4" t="s">
        <v>129</v>
      </c>
      <c r="D80" s="50"/>
      <c r="E80" s="56" t="s">
        <v>47</v>
      </c>
      <c r="F80" s="67"/>
      <c r="G80" s="65" t="s">
        <v>47</v>
      </c>
    </row>
    <row r="81" spans="1:7" ht="36" customHeight="1">
      <c r="A81" s="49"/>
      <c r="B81" s="41"/>
      <c r="C81" s="4" t="s">
        <v>130</v>
      </c>
      <c r="D81" s="51"/>
      <c r="E81" s="57"/>
      <c r="F81" s="68"/>
      <c r="G81" s="70"/>
    </row>
    <row r="82" spans="1:7" ht="46.15" customHeight="1">
      <c r="A82" s="49"/>
      <c r="B82" s="41"/>
      <c r="C82" s="4" t="s">
        <v>131</v>
      </c>
      <c r="D82" s="51"/>
      <c r="E82" s="58"/>
      <c r="F82" s="69"/>
      <c r="G82" s="66"/>
    </row>
    <row r="83" spans="1:7" ht="14.45" customHeight="1">
      <c r="A83" s="48" t="s">
        <v>132</v>
      </c>
      <c r="B83" s="41" t="s">
        <v>133</v>
      </c>
      <c r="C83" s="4" t="s">
        <v>134</v>
      </c>
      <c r="D83" s="44"/>
      <c r="E83" s="59" t="s">
        <v>47</v>
      </c>
      <c r="F83" s="60"/>
      <c r="G83" s="61" t="s">
        <v>47</v>
      </c>
    </row>
    <row r="84" spans="1:7">
      <c r="A84" s="48"/>
      <c r="B84" s="41"/>
      <c r="C84" s="4" t="s">
        <v>135</v>
      </c>
      <c r="D84" s="44"/>
      <c r="E84" s="59"/>
      <c r="F84" s="60"/>
      <c r="G84" s="61"/>
    </row>
    <row r="85" spans="1:7" ht="14.45" customHeight="1">
      <c r="A85" s="48"/>
      <c r="B85" s="41" t="s">
        <v>136</v>
      </c>
      <c r="C85" s="4" t="s">
        <v>137</v>
      </c>
      <c r="D85" s="44"/>
      <c r="E85" s="59"/>
      <c r="F85" s="60"/>
      <c r="G85" s="61"/>
    </row>
    <row r="86" spans="1:7">
      <c r="A86" s="48"/>
      <c r="B86" s="41"/>
      <c r="C86" s="4" t="s">
        <v>138</v>
      </c>
      <c r="D86" s="44"/>
      <c r="E86" s="59"/>
      <c r="F86" s="60"/>
      <c r="G86" s="61"/>
    </row>
    <row r="87" spans="1:7">
      <c r="A87" s="48"/>
      <c r="B87" s="41"/>
      <c r="C87" s="4" t="s">
        <v>139</v>
      </c>
      <c r="D87" s="44"/>
      <c r="E87" s="59"/>
      <c r="F87" s="60"/>
      <c r="G87" s="61"/>
    </row>
    <row r="88" spans="1:7" ht="14.45" customHeight="1">
      <c r="A88" s="45" t="s">
        <v>140</v>
      </c>
      <c r="B88" s="41" t="s">
        <v>140</v>
      </c>
      <c r="C88" s="4" t="s">
        <v>141</v>
      </c>
      <c r="D88" s="44"/>
      <c r="E88" s="59" t="s">
        <v>47</v>
      </c>
      <c r="F88" s="60"/>
      <c r="G88" s="61" t="s">
        <v>47</v>
      </c>
    </row>
    <row r="89" spans="1:7">
      <c r="A89" s="45"/>
      <c r="B89" s="41"/>
      <c r="C89" s="4" t="s">
        <v>142</v>
      </c>
      <c r="D89" s="44"/>
      <c r="E89" s="59"/>
      <c r="F89" s="60"/>
      <c r="G89" s="61"/>
    </row>
    <row r="90" spans="1:7">
      <c r="A90" s="45"/>
      <c r="B90" s="41"/>
      <c r="C90" s="4" t="s">
        <v>143</v>
      </c>
      <c r="D90" s="44"/>
      <c r="E90" s="59"/>
      <c r="F90" s="60"/>
      <c r="G90" s="61"/>
    </row>
    <row r="91" spans="1:7">
      <c r="A91" s="45"/>
      <c r="B91" s="41"/>
      <c r="C91" s="4" t="s">
        <v>144</v>
      </c>
      <c r="D91" s="44"/>
      <c r="E91" s="59"/>
      <c r="F91" s="60"/>
      <c r="G91" s="61"/>
    </row>
    <row r="92" spans="1:7">
      <c r="A92" s="14"/>
      <c r="B92" s="15"/>
      <c r="C92" s="15"/>
      <c r="D92" s="13"/>
      <c r="E92" s="14"/>
      <c r="F92" s="13"/>
      <c r="G92" s="13"/>
    </row>
  </sheetData>
  <mergeCells count="65">
    <mergeCell ref="F2:F79"/>
    <mergeCell ref="E41:E44"/>
    <mergeCell ref="E50:E54"/>
    <mergeCell ref="F88:F91"/>
    <mergeCell ref="G88:G91"/>
    <mergeCell ref="G2:G49"/>
    <mergeCell ref="G70:G71"/>
    <mergeCell ref="G50:G67"/>
    <mergeCell ref="G68:G69"/>
    <mergeCell ref="G72:G79"/>
    <mergeCell ref="F80:F82"/>
    <mergeCell ref="G80:G82"/>
    <mergeCell ref="F83:F87"/>
    <mergeCell ref="G83:G87"/>
    <mergeCell ref="E14:E16"/>
    <mergeCell ref="E37:E38"/>
    <mergeCell ref="D2:D44"/>
    <mergeCell ref="E80:E82"/>
    <mergeCell ref="E83:E87"/>
    <mergeCell ref="E88:E91"/>
    <mergeCell ref="E58:E59"/>
    <mergeCell ref="E66:E67"/>
    <mergeCell ref="E64:E65"/>
    <mergeCell ref="E68:E69"/>
    <mergeCell ref="E62:E63"/>
    <mergeCell ref="E60:E61"/>
    <mergeCell ref="E45:E46"/>
    <mergeCell ref="E78:E79"/>
    <mergeCell ref="E75:E76"/>
    <mergeCell ref="E55:E57"/>
    <mergeCell ref="E47:E48"/>
    <mergeCell ref="E2:E4"/>
    <mergeCell ref="D88:D91"/>
    <mergeCell ref="D70:D79"/>
    <mergeCell ref="D45:D49"/>
    <mergeCell ref="D80:D82"/>
    <mergeCell ref="D83:D87"/>
    <mergeCell ref="D50:D69"/>
    <mergeCell ref="A88:A91"/>
    <mergeCell ref="B88:B91"/>
    <mergeCell ref="B80:B82"/>
    <mergeCell ref="B64:B65"/>
    <mergeCell ref="B66:B67"/>
    <mergeCell ref="B68:B69"/>
    <mergeCell ref="B75:B76"/>
    <mergeCell ref="B78:B79"/>
    <mergeCell ref="A83:A87"/>
    <mergeCell ref="B83:B84"/>
    <mergeCell ref="B85:B87"/>
    <mergeCell ref="A55:A69"/>
    <mergeCell ref="A70:A79"/>
    <mergeCell ref="A80:A82"/>
    <mergeCell ref="B55:B57"/>
    <mergeCell ref="B58:B59"/>
    <mergeCell ref="B60:B61"/>
    <mergeCell ref="B62:B63"/>
    <mergeCell ref="A2:A44"/>
    <mergeCell ref="B2:B31"/>
    <mergeCell ref="B32:B40"/>
    <mergeCell ref="B41:B44"/>
    <mergeCell ref="A50:A54"/>
    <mergeCell ref="B50:B54"/>
    <mergeCell ref="A45:A49"/>
    <mergeCell ref="B45:B46"/>
    <mergeCell ref="B47:B48"/>
  </mergeCells>
  <conditionalFormatting sqref="E5">
    <cfRule type="cellIs" dxfId="7" priority="3" operator="equal">
      <formula>"Vacancy"</formula>
    </cfRule>
    <cfRule type="cellIs" dxfId="6" priority="4" operator="equal">
      <formula>"Vacancy"</formula>
    </cfRule>
  </conditionalFormatting>
  <conditionalFormatting sqref="E14 E17:E25">
    <cfRule type="cellIs" dxfId="5" priority="1" operator="equal">
      <formula>"Vacancy"</formula>
    </cfRule>
    <cfRule type="cellIs" dxfId="4" priority="2" operator="equal">
      <formula>"Vacancy"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80BA-344C-424C-956B-6F9EC2F260A9}">
  <dimension ref="A1:Y93"/>
  <sheetViews>
    <sheetView workbookViewId="0">
      <selection activeCell="O3" sqref="O3"/>
    </sheetView>
  </sheetViews>
  <sheetFormatPr defaultRowHeight="16.899999999999999" customHeight="1"/>
  <cols>
    <col min="1" max="1" width="5.5703125" style="23" bestFit="1" customWidth="1"/>
    <col min="2" max="2" width="10.140625" style="23" bestFit="1" customWidth="1"/>
    <col min="3" max="3" width="14.85546875" style="24" customWidth="1"/>
    <col min="4" max="4" width="9.7109375" style="25" customWidth="1"/>
    <col min="5" max="5" width="12.28515625" style="23" customWidth="1"/>
    <col min="6" max="6" width="9.42578125" style="25" customWidth="1"/>
    <col min="7" max="7" width="11.28515625" style="25" customWidth="1"/>
    <col min="8" max="9" width="8.85546875" style="1"/>
    <col min="10" max="10" width="9.42578125" style="1" bestFit="1" customWidth="1"/>
    <col min="11" max="12" width="8.85546875" style="1"/>
    <col min="13" max="13" width="11.42578125" style="1" bestFit="1" customWidth="1"/>
    <col min="14" max="16" width="10.7109375" style="1" customWidth="1"/>
    <col min="17" max="18" width="11.140625" style="1" customWidth="1"/>
  </cols>
  <sheetData>
    <row r="1" spans="1:25" ht="16.899999999999999" customHeight="1">
      <c r="A1" s="100" t="s">
        <v>0</v>
      </c>
      <c r="B1" s="101" t="s">
        <v>1</v>
      </c>
      <c r="C1" s="102" t="s">
        <v>2</v>
      </c>
      <c r="D1" s="103" t="s">
        <v>3</v>
      </c>
      <c r="E1" s="104" t="s">
        <v>4</v>
      </c>
      <c r="F1" s="103" t="s">
        <v>5</v>
      </c>
      <c r="G1" s="104" t="s">
        <v>6</v>
      </c>
      <c r="H1" s="104" t="s">
        <v>153</v>
      </c>
      <c r="I1" s="104" t="s">
        <v>154</v>
      </c>
      <c r="J1" s="106" t="s">
        <v>155</v>
      </c>
      <c r="K1" s="104" t="s">
        <v>156</v>
      </c>
      <c r="L1" s="106" t="s">
        <v>157</v>
      </c>
      <c r="M1" s="106" t="s">
        <v>158</v>
      </c>
      <c r="N1" s="104" t="s">
        <v>159</v>
      </c>
      <c r="O1" s="104" t="s">
        <v>160</v>
      </c>
      <c r="P1" s="104" t="s">
        <v>161</v>
      </c>
      <c r="Q1" s="104" t="s">
        <v>162</v>
      </c>
      <c r="R1" s="104" t="s">
        <v>163</v>
      </c>
      <c r="S1" s="105" t="s">
        <v>164</v>
      </c>
      <c r="T1" s="105"/>
      <c r="U1" s="105"/>
      <c r="V1" s="105"/>
      <c r="W1" s="105"/>
      <c r="X1" s="105"/>
      <c r="Y1" s="105"/>
    </row>
    <row r="2" spans="1:25" ht="27" customHeight="1">
      <c r="A2" s="100"/>
      <c r="B2" s="101"/>
      <c r="C2" s="102"/>
      <c r="D2" s="103"/>
      <c r="E2" s="104"/>
      <c r="F2" s="103"/>
      <c r="G2" s="104"/>
      <c r="H2" s="104"/>
      <c r="I2" s="104"/>
      <c r="J2" s="107"/>
      <c r="K2" s="104"/>
      <c r="L2" s="107"/>
      <c r="M2" s="107"/>
      <c r="N2" s="104"/>
      <c r="O2" s="104"/>
      <c r="P2" s="104"/>
      <c r="Q2" s="104"/>
      <c r="R2" s="104"/>
      <c r="S2" s="6" t="s">
        <v>165</v>
      </c>
      <c r="T2" s="35" t="s">
        <v>166</v>
      </c>
      <c r="U2" s="35" t="s">
        <v>167</v>
      </c>
      <c r="V2" s="6" t="s">
        <v>168</v>
      </c>
      <c r="W2" s="6" t="s">
        <v>169</v>
      </c>
      <c r="X2" s="6" t="s">
        <v>170</v>
      </c>
      <c r="Y2" s="6" t="s">
        <v>171</v>
      </c>
    </row>
    <row r="3" spans="1:25" ht="14.45">
      <c r="A3" s="89" t="s">
        <v>7</v>
      </c>
      <c r="B3" s="79" t="s">
        <v>8</v>
      </c>
      <c r="C3" s="16" t="s">
        <v>9</v>
      </c>
      <c r="D3" s="76" t="s">
        <v>172</v>
      </c>
      <c r="E3" s="80" t="s">
        <v>172</v>
      </c>
      <c r="F3" s="76" t="s">
        <v>172</v>
      </c>
      <c r="G3" s="91" t="s">
        <v>172</v>
      </c>
      <c r="H3" s="97">
        <v>2632</v>
      </c>
      <c r="I3" s="32">
        <v>20</v>
      </c>
      <c r="J3" s="37">
        <f>IF(H3=0,0,(I3/H3)*100)</f>
        <v>0.75987841945288759</v>
      </c>
      <c r="K3" s="97">
        <v>120</v>
      </c>
      <c r="L3" s="38"/>
      <c r="M3" s="37">
        <f>IF(K2=0,0,(L2/K2)*100)</f>
        <v>0</v>
      </c>
      <c r="N3" s="97">
        <v>21</v>
      </c>
      <c r="O3" s="38">
        <v>10</v>
      </c>
      <c r="P3" s="37"/>
      <c r="Q3" s="97">
        <v>2773</v>
      </c>
      <c r="R3" s="37">
        <f>IF(Q3=0,0, ((I3+L3+O3)/Q3)*100)</f>
        <v>1.0818608005769925</v>
      </c>
      <c r="S3" s="27"/>
      <c r="T3" s="27"/>
      <c r="U3" s="36"/>
      <c r="V3" s="27"/>
      <c r="W3" s="32"/>
      <c r="X3" s="27"/>
      <c r="Y3" s="27"/>
    </row>
    <row r="4" spans="1:25" ht="16.899999999999999" customHeight="1">
      <c r="A4" s="89"/>
      <c r="B4" s="79"/>
      <c r="C4" s="16" t="s">
        <v>14</v>
      </c>
      <c r="D4" s="77"/>
      <c r="E4" s="80"/>
      <c r="F4" s="77"/>
      <c r="G4" s="92"/>
      <c r="H4" s="97"/>
      <c r="I4" s="32"/>
      <c r="J4" s="37">
        <f t="shared" ref="J4:J67" si="0">IF(H4=0,0,(I4/H4)*100)</f>
        <v>0</v>
      </c>
      <c r="K4" s="97"/>
      <c r="L4" s="38"/>
      <c r="M4" s="37">
        <f t="shared" ref="M4:M67" si="1">IF(K3=0,0,(L3/K3)*100)</f>
        <v>0</v>
      </c>
      <c r="N4" s="97"/>
      <c r="O4" s="32"/>
      <c r="P4" s="37"/>
      <c r="Q4" s="97"/>
      <c r="R4" s="37">
        <f t="shared" ref="R4:R67" si="2">IF(Q4=0,0, ((I4+L4+O4)/Q4)*100)</f>
        <v>0</v>
      </c>
      <c r="S4" s="28"/>
      <c r="T4" s="28"/>
      <c r="U4" s="28"/>
      <c r="V4" s="27"/>
      <c r="W4" s="27"/>
      <c r="X4" s="27"/>
      <c r="Y4" s="27"/>
    </row>
    <row r="5" spans="1:25" ht="16.899999999999999" customHeight="1">
      <c r="A5" s="89"/>
      <c r="B5" s="79"/>
      <c r="C5" s="16" t="s">
        <v>15</v>
      </c>
      <c r="D5" s="77"/>
      <c r="E5" s="80"/>
      <c r="F5" s="77"/>
      <c r="G5" s="92"/>
      <c r="H5" s="97"/>
      <c r="I5" s="32"/>
      <c r="J5" s="37">
        <f t="shared" si="0"/>
        <v>0</v>
      </c>
      <c r="K5" s="97"/>
      <c r="L5" s="38"/>
      <c r="M5" s="37">
        <f t="shared" si="1"/>
        <v>0</v>
      </c>
      <c r="N5" s="97"/>
      <c r="O5" s="32"/>
      <c r="P5" s="37"/>
      <c r="Q5" s="97"/>
      <c r="R5" s="37">
        <f t="shared" si="2"/>
        <v>0</v>
      </c>
      <c r="S5" s="28"/>
      <c r="T5" s="28"/>
      <c r="U5" s="28"/>
      <c r="V5" s="27"/>
      <c r="W5" s="27"/>
      <c r="X5" s="27"/>
      <c r="Y5" s="27"/>
    </row>
    <row r="6" spans="1:25" ht="16.899999999999999" customHeight="1">
      <c r="A6" s="89"/>
      <c r="B6" s="79"/>
      <c r="C6" s="16" t="s">
        <v>16</v>
      </c>
      <c r="D6" s="77"/>
      <c r="E6" s="17" t="s">
        <v>172</v>
      </c>
      <c r="F6" s="77"/>
      <c r="G6" s="92"/>
      <c r="H6" s="97"/>
      <c r="I6" s="32"/>
      <c r="J6" s="37">
        <f t="shared" si="0"/>
        <v>0</v>
      </c>
      <c r="K6" s="97"/>
      <c r="L6" s="38"/>
      <c r="M6" s="37">
        <f t="shared" si="1"/>
        <v>0</v>
      </c>
      <c r="N6" s="97"/>
      <c r="O6" s="32"/>
      <c r="P6" s="37"/>
      <c r="Q6" s="97"/>
      <c r="R6" s="37">
        <f t="shared" si="2"/>
        <v>0</v>
      </c>
      <c r="S6" s="28"/>
      <c r="T6" s="28"/>
      <c r="U6" s="28"/>
      <c r="V6" s="27"/>
      <c r="W6" s="27"/>
      <c r="X6" s="27"/>
      <c r="Y6" s="27"/>
    </row>
    <row r="7" spans="1:25" ht="16.899999999999999" customHeight="1">
      <c r="A7" s="89"/>
      <c r="B7" s="79"/>
      <c r="C7" s="16" t="s">
        <v>18</v>
      </c>
      <c r="D7" s="77"/>
      <c r="E7" s="17"/>
      <c r="F7" s="77"/>
      <c r="G7" s="92"/>
      <c r="H7" s="97"/>
      <c r="I7" s="32"/>
      <c r="J7" s="37">
        <f t="shared" si="0"/>
        <v>0</v>
      </c>
      <c r="K7" s="97"/>
      <c r="L7" s="38"/>
      <c r="M7" s="37">
        <f t="shared" si="1"/>
        <v>0</v>
      </c>
      <c r="N7" s="97"/>
      <c r="O7" s="32"/>
      <c r="P7" s="37"/>
      <c r="Q7" s="97"/>
      <c r="R7" s="37">
        <f t="shared" si="2"/>
        <v>0</v>
      </c>
      <c r="S7" s="28"/>
      <c r="T7" s="28"/>
      <c r="U7" s="28"/>
      <c r="V7" s="27"/>
      <c r="W7" s="27"/>
      <c r="X7" s="27"/>
      <c r="Y7" s="27"/>
    </row>
    <row r="8" spans="1:25" ht="16.899999999999999" customHeight="1">
      <c r="A8" s="89"/>
      <c r="B8" s="79"/>
      <c r="C8" s="18" t="s">
        <v>19</v>
      </c>
      <c r="D8" s="77"/>
      <c r="E8" s="17" t="s">
        <v>172</v>
      </c>
      <c r="F8" s="77"/>
      <c r="G8" s="92"/>
      <c r="H8" s="97"/>
      <c r="I8" s="32"/>
      <c r="J8" s="37">
        <f t="shared" si="0"/>
        <v>0</v>
      </c>
      <c r="K8" s="97"/>
      <c r="L8" s="38"/>
      <c r="M8" s="37">
        <f t="shared" si="1"/>
        <v>0</v>
      </c>
      <c r="N8" s="97"/>
      <c r="O8" s="32"/>
      <c r="P8" s="37"/>
      <c r="Q8" s="97"/>
      <c r="R8" s="37">
        <f t="shared" si="2"/>
        <v>0</v>
      </c>
      <c r="S8" s="28"/>
      <c r="T8" s="28"/>
      <c r="U8" s="28"/>
      <c r="V8" s="27"/>
      <c r="W8" s="27"/>
      <c r="X8" s="27"/>
      <c r="Y8" s="27"/>
    </row>
    <row r="9" spans="1:25" ht="16.899999999999999" customHeight="1">
      <c r="A9" s="89"/>
      <c r="B9" s="79"/>
      <c r="C9" s="18" t="s">
        <v>21</v>
      </c>
      <c r="D9" s="77"/>
      <c r="E9" s="17" t="s">
        <v>173</v>
      </c>
      <c r="F9" s="77"/>
      <c r="G9" s="92"/>
      <c r="H9" s="97"/>
      <c r="I9" s="32"/>
      <c r="J9" s="37">
        <f t="shared" si="0"/>
        <v>0</v>
      </c>
      <c r="K9" s="97"/>
      <c r="L9" s="38"/>
      <c r="M9" s="37">
        <f t="shared" si="1"/>
        <v>0</v>
      </c>
      <c r="N9" s="97"/>
      <c r="O9" s="32"/>
      <c r="P9" s="37"/>
      <c r="Q9" s="97"/>
      <c r="R9" s="37">
        <f t="shared" si="2"/>
        <v>0</v>
      </c>
      <c r="S9" s="28"/>
      <c r="T9" s="28"/>
      <c r="U9" s="28"/>
      <c r="V9" s="27"/>
      <c r="W9" s="27"/>
      <c r="X9" s="27"/>
      <c r="Y9" s="27"/>
    </row>
    <row r="10" spans="1:25" ht="16.899999999999999" customHeight="1">
      <c r="A10" s="89"/>
      <c r="B10" s="79"/>
      <c r="C10" s="18" t="s">
        <v>22</v>
      </c>
      <c r="D10" s="77"/>
      <c r="E10" s="17" t="s">
        <v>173</v>
      </c>
      <c r="F10" s="77"/>
      <c r="G10" s="92"/>
      <c r="H10" s="97"/>
      <c r="I10" s="32"/>
      <c r="J10" s="37">
        <f t="shared" si="0"/>
        <v>0</v>
      </c>
      <c r="K10" s="97"/>
      <c r="L10" s="38"/>
      <c r="M10" s="37">
        <f t="shared" si="1"/>
        <v>0</v>
      </c>
      <c r="N10" s="97"/>
      <c r="O10" s="32"/>
      <c r="P10" s="37"/>
      <c r="Q10" s="97"/>
      <c r="R10" s="37">
        <f t="shared" si="2"/>
        <v>0</v>
      </c>
      <c r="S10" s="28"/>
      <c r="T10" s="28"/>
      <c r="U10" s="28"/>
      <c r="V10" s="27"/>
      <c r="W10" s="27"/>
      <c r="X10" s="27"/>
      <c r="Y10" s="27"/>
    </row>
    <row r="11" spans="1:25" ht="16.899999999999999" customHeight="1">
      <c r="A11" s="89"/>
      <c r="B11" s="79"/>
      <c r="C11" s="16" t="s">
        <v>23</v>
      </c>
      <c r="D11" s="77"/>
      <c r="E11" s="17" t="s">
        <v>173</v>
      </c>
      <c r="F11" s="77"/>
      <c r="G11" s="92"/>
      <c r="H11" s="97"/>
      <c r="I11" s="32"/>
      <c r="J11" s="37">
        <f t="shared" si="0"/>
        <v>0</v>
      </c>
      <c r="K11" s="97"/>
      <c r="L11" s="38"/>
      <c r="M11" s="37">
        <f t="shared" si="1"/>
        <v>0</v>
      </c>
      <c r="N11" s="97"/>
      <c r="O11" s="32"/>
      <c r="P11" s="37"/>
      <c r="Q11" s="97"/>
      <c r="R11" s="37">
        <f t="shared" si="2"/>
        <v>0</v>
      </c>
      <c r="S11" s="28"/>
      <c r="T11" s="28"/>
      <c r="U11" s="28"/>
      <c r="V11" s="27"/>
      <c r="W11" s="27"/>
      <c r="X11" s="27"/>
      <c r="Y11" s="27"/>
    </row>
    <row r="12" spans="1:25" ht="16.899999999999999" customHeight="1">
      <c r="A12" s="89"/>
      <c r="B12" s="79"/>
      <c r="C12" s="18" t="s">
        <v>24</v>
      </c>
      <c r="D12" s="77"/>
      <c r="E12" s="17" t="s">
        <v>173</v>
      </c>
      <c r="F12" s="77"/>
      <c r="G12" s="92"/>
      <c r="H12" s="97"/>
      <c r="I12" s="32"/>
      <c r="J12" s="37">
        <f t="shared" si="0"/>
        <v>0</v>
      </c>
      <c r="K12" s="97"/>
      <c r="L12" s="38"/>
      <c r="M12" s="37">
        <f t="shared" si="1"/>
        <v>0</v>
      </c>
      <c r="N12" s="97"/>
      <c r="O12" s="32"/>
      <c r="P12" s="37"/>
      <c r="Q12" s="97"/>
      <c r="R12" s="37">
        <f t="shared" si="2"/>
        <v>0</v>
      </c>
      <c r="S12" s="28"/>
      <c r="T12" s="28"/>
      <c r="U12" s="28"/>
      <c r="V12" s="27"/>
      <c r="W12" s="27"/>
      <c r="X12" s="27"/>
      <c r="Y12" s="27"/>
    </row>
    <row r="13" spans="1:25" ht="16.899999999999999" customHeight="1">
      <c r="A13" s="89"/>
      <c r="B13" s="79"/>
      <c r="C13" s="16" t="s">
        <v>25</v>
      </c>
      <c r="D13" s="77"/>
      <c r="E13" s="17" t="s">
        <v>173</v>
      </c>
      <c r="F13" s="77"/>
      <c r="G13" s="92"/>
      <c r="H13" s="97"/>
      <c r="I13" s="32"/>
      <c r="J13" s="37">
        <f t="shared" si="0"/>
        <v>0</v>
      </c>
      <c r="K13" s="97"/>
      <c r="L13" s="38"/>
      <c r="M13" s="37">
        <f t="shared" si="1"/>
        <v>0</v>
      </c>
      <c r="N13" s="97"/>
      <c r="O13" s="32"/>
      <c r="P13" s="37"/>
      <c r="Q13" s="97"/>
      <c r="R13" s="37">
        <f t="shared" si="2"/>
        <v>0</v>
      </c>
      <c r="S13" s="28"/>
      <c r="T13" s="28"/>
      <c r="U13" s="28"/>
      <c r="V13" s="27"/>
      <c r="W13" s="27"/>
      <c r="X13" s="27"/>
      <c r="Y13" s="27"/>
    </row>
    <row r="14" spans="1:25" ht="16.899999999999999" customHeight="1">
      <c r="A14" s="89"/>
      <c r="B14" s="79"/>
      <c r="C14" s="16" t="s">
        <v>26</v>
      </c>
      <c r="D14" s="77"/>
      <c r="E14" s="17" t="s">
        <v>173</v>
      </c>
      <c r="F14" s="77"/>
      <c r="G14" s="92"/>
      <c r="H14" s="97"/>
      <c r="I14" s="32"/>
      <c r="J14" s="37">
        <f t="shared" si="0"/>
        <v>0</v>
      </c>
      <c r="K14" s="97"/>
      <c r="L14" s="38"/>
      <c r="M14" s="37">
        <f t="shared" si="1"/>
        <v>0</v>
      </c>
      <c r="N14" s="97"/>
      <c r="O14" s="32"/>
      <c r="P14" s="37"/>
      <c r="Q14" s="97"/>
      <c r="R14" s="37">
        <f t="shared" si="2"/>
        <v>0</v>
      </c>
      <c r="S14" s="28"/>
      <c r="T14" s="28"/>
      <c r="U14" s="28"/>
      <c r="V14" s="27"/>
      <c r="W14" s="27"/>
      <c r="X14" s="27"/>
      <c r="Y14" s="27"/>
    </row>
    <row r="15" spans="1:25" ht="16.899999999999999" customHeight="1">
      <c r="A15" s="89"/>
      <c r="B15" s="79"/>
      <c r="C15" s="16" t="s">
        <v>27</v>
      </c>
      <c r="D15" s="77"/>
      <c r="E15" s="80" t="s">
        <v>172</v>
      </c>
      <c r="F15" s="77"/>
      <c r="G15" s="92"/>
      <c r="H15" s="97"/>
      <c r="I15" s="32"/>
      <c r="J15" s="37">
        <f t="shared" si="0"/>
        <v>0</v>
      </c>
      <c r="K15" s="97"/>
      <c r="L15" s="38"/>
      <c r="M15" s="37">
        <f t="shared" si="1"/>
        <v>0</v>
      </c>
      <c r="N15" s="97"/>
      <c r="O15" s="32"/>
      <c r="P15" s="37"/>
      <c r="Q15" s="97"/>
      <c r="R15" s="37">
        <f t="shared" si="2"/>
        <v>0</v>
      </c>
      <c r="S15" s="28"/>
      <c r="T15" s="28"/>
      <c r="U15" s="28"/>
      <c r="V15" s="27"/>
      <c r="W15" s="27"/>
      <c r="X15" s="27"/>
      <c r="Y15" s="27"/>
    </row>
    <row r="16" spans="1:25" ht="16.899999999999999" customHeight="1">
      <c r="A16" s="89"/>
      <c r="B16" s="79"/>
      <c r="C16" s="16" t="s">
        <v>28</v>
      </c>
      <c r="D16" s="77"/>
      <c r="E16" s="80"/>
      <c r="F16" s="77"/>
      <c r="G16" s="92"/>
      <c r="H16" s="97"/>
      <c r="I16" s="32"/>
      <c r="J16" s="37">
        <f t="shared" si="0"/>
        <v>0</v>
      </c>
      <c r="K16" s="97"/>
      <c r="L16" s="38"/>
      <c r="M16" s="37">
        <f t="shared" si="1"/>
        <v>0</v>
      </c>
      <c r="N16" s="97"/>
      <c r="O16" s="32"/>
      <c r="P16" s="37"/>
      <c r="Q16" s="97"/>
      <c r="R16" s="37">
        <f t="shared" si="2"/>
        <v>0</v>
      </c>
      <c r="S16" s="28"/>
      <c r="T16" s="28"/>
      <c r="U16" s="28"/>
      <c r="V16" s="27"/>
      <c r="W16" s="27"/>
      <c r="X16" s="27"/>
      <c r="Y16" s="27"/>
    </row>
    <row r="17" spans="1:25" ht="16.899999999999999" customHeight="1">
      <c r="A17" s="89"/>
      <c r="B17" s="79"/>
      <c r="C17" s="16" t="s">
        <v>29</v>
      </c>
      <c r="D17" s="77"/>
      <c r="E17" s="80"/>
      <c r="F17" s="77"/>
      <c r="G17" s="92"/>
      <c r="H17" s="97"/>
      <c r="I17" s="32"/>
      <c r="J17" s="37">
        <f t="shared" si="0"/>
        <v>0</v>
      </c>
      <c r="K17" s="97"/>
      <c r="L17" s="38"/>
      <c r="M17" s="37">
        <f t="shared" si="1"/>
        <v>0</v>
      </c>
      <c r="N17" s="97"/>
      <c r="O17" s="32"/>
      <c r="P17" s="37"/>
      <c r="Q17" s="97"/>
      <c r="R17" s="37">
        <f t="shared" si="2"/>
        <v>0</v>
      </c>
      <c r="S17" s="28"/>
      <c r="T17" s="28"/>
      <c r="U17" s="28"/>
      <c r="V17" s="27"/>
      <c r="W17" s="27"/>
      <c r="X17" s="27"/>
      <c r="Y17" s="27"/>
    </row>
    <row r="18" spans="1:25" ht="16.899999999999999" customHeight="1">
      <c r="A18" s="89"/>
      <c r="B18" s="79"/>
      <c r="C18" s="18" t="s">
        <v>30</v>
      </c>
      <c r="D18" s="77"/>
      <c r="E18" s="17" t="s">
        <v>173</v>
      </c>
      <c r="F18" s="77"/>
      <c r="G18" s="92"/>
      <c r="H18" s="97"/>
      <c r="I18" s="32"/>
      <c r="J18" s="37">
        <f t="shared" si="0"/>
        <v>0</v>
      </c>
      <c r="K18" s="97"/>
      <c r="L18" s="38"/>
      <c r="M18" s="37">
        <f t="shared" si="1"/>
        <v>0</v>
      </c>
      <c r="N18" s="97"/>
      <c r="O18" s="32"/>
      <c r="P18" s="37"/>
      <c r="Q18" s="97"/>
      <c r="R18" s="37">
        <f t="shared" si="2"/>
        <v>0</v>
      </c>
      <c r="S18" s="28"/>
      <c r="T18" s="28"/>
      <c r="U18" s="28"/>
      <c r="V18" s="27"/>
      <c r="W18" s="27"/>
      <c r="X18" s="27"/>
      <c r="Y18" s="27"/>
    </row>
    <row r="19" spans="1:25" ht="16.899999999999999" customHeight="1">
      <c r="A19" s="89"/>
      <c r="B19" s="79"/>
      <c r="C19" s="16" t="s">
        <v>31</v>
      </c>
      <c r="D19" s="77"/>
      <c r="E19" s="17" t="s">
        <v>173</v>
      </c>
      <c r="F19" s="77"/>
      <c r="G19" s="92"/>
      <c r="H19" s="97"/>
      <c r="I19" s="32"/>
      <c r="J19" s="37">
        <f t="shared" si="0"/>
        <v>0</v>
      </c>
      <c r="K19" s="97"/>
      <c r="L19" s="38"/>
      <c r="M19" s="37">
        <f t="shared" si="1"/>
        <v>0</v>
      </c>
      <c r="N19" s="97"/>
      <c r="O19" s="32"/>
      <c r="P19" s="37"/>
      <c r="Q19" s="97"/>
      <c r="R19" s="37">
        <f t="shared" si="2"/>
        <v>0</v>
      </c>
      <c r="S19" s="28"/>
      <c r="T19" s="28"/>
      <c r="U19" s="28"/>
      <c r="V19" s="27"/>
      <c r="W19" s="27"/>
      <c r="X19" s="27"/>
      <c r="Y19" s="27"/>
    </row>
    <row r="20" spans="1:25" ht="16.899999999999999" customHeight="1">
      <c r="A20" s="89"/>
      <c r="B20" s="79"/>
      <c r="C20" s="18" t="s">
        <v>32</v>
      </c>
      <c r="D20" s="77"/>
      <c r="E20" s="17" t="s">
        <v>173</v>
      </c>
      <c r="F20" s="77"/>
      <c r="G20" s="92"/>
      <c r="H20" s="97"/>
      <c r="I20" s="32"/>
      <c r="J20" s="37">
        <f t="shared" si="0"/>
        <v>0</v>
      </c>
      <c r="K20" s="97"/>
      <c r="L20" s="38"/>
      <c r="M20" s="37">
        <f t="shared" si="1"/>
        <v>0</v>
      </c>
      <c r="N20" s="97"/>
      <c r="O20" s="32"/>
      <c r="P20" s="37"/>
      <c r="Q20" s="97"/>
      <c r="R20" s="37">
        <f t="shared" si="2"/>
        <v>0</v>
      </c>
      <c r="S20" s="27"/>
      <c r="T20" s="27"/>
      <c r="U20" s="27"/>
      <c r="V20" s="27"/>
      <c r="W20" s="27"/>
      <c r="X20" s="27"/>
      <c r="Y20" s="27"/>
    </row>
    <row r="21" spans="1:25" ht="16.899999999999999" customHeight="1">
      <c r="A21" s="89"/>
      <c r="B21" s="79"/>
      <c r="C21" s="18" t="s">
        <v>33</v>
      </c>
      <c r="D21" s="77"/>
      <c r="E21" s="17" t="s">
        <v>173</v>
      </c>
      <c r="F21" s="77"/>
      <c r="G21" s="92"/>
      <c r="H21" s="97"/>
      <c r="I21" s="32"/>
      <c r="J21" s="37">
        <f t="shared" si="0"/>
        <v>0</v>
      </c>
      <c r="K21" s="97"/>
      <c r="L21" s="38"/>
      <c r="M21" s="37">
        <f t="shared" si="1"/>
        <v>0</v>
      </c>
      <c r="N21" s="97"/>
      <c r="O21" s="32"/>
      <c r="P21" s="37"/>
      <c r="Q21" s="97"/>
      <c r="R21" s="37">
        <f t="shared" si="2"/>
        <v>0</v>
      </c>
      <c r="S21" s="27"/>
      <c r="T21" s="27"/>
      <c r="U21" s="27"/>
      <c r="V21" s="27"/>
      <c r="W21" s="27"/>
      <c r="X21" s="27"/>
      <c r="Y21" s="27"/>
    </row>
    <row r="22" spans="1:25" ht="16.899999999999999" customHeight="1">
      <c r="A22" s="89"/>
      <c r="B22" s="79"/>
      <c r="C22" s="18" t="s">
        <v>34</v>
      </c>
      <c r="D22" s="77"/>
      <c r="E22" s="17" t="s">
        <v>173</v>
      </c>
      <c r="F22" s="77"/>
      <c r="G22" s="92"/>
      <c r="H22" s="97"/>
      <c r="I22" s="32"/>
      <c r="J22" s="37">
        <f t="shared" si="0"/>
        <v>0</v>
      </c>
      <c r="K22" s="97"/>
      <c r="L22" s="38"/>
      <c r="M22" s="37">
        <f t="shared" si="1"/>
        <v>0</v>
      </c>
      <c r="N22" s="97"/>
      <c r="O22" s="32"/>
      <c r="P22" s="37"/>
      <c r="Q22" s="97"/>
      <c r="R22" s="37">
        <f t="shared" si="2"/>
        <v>0</v>
      </c>
      <c r="S22" s="27"/>
      <c r="T22" s="27"/>
      <c r="U22" s="27"/>
      <c r="V22" s="27"/>
      <c r="W22" s="27"/>
      <c r="X22" s="27"/>
      <c r="Y22" s="27"/>
    </row>
    <row r="23" spans="1:25" ht="16.899999999999999" customHeight="1">
      <c r="A23" s="89"/>
      <c r="B23" s="79"/>
      <c r="C23" s="18" t="s">
        <v>35</v>
      </c>
      <c r="D23" s="77"/>
      <c r="E23" s="17" t="s">
        <v>173</v>
      </c>
      <c r="F23" s="77"/>
      <c r="G23" s="92"/>
      <c r="H23" s="97"/>
      <c r="I23" s="32"/>
      <c r="J23" s="37">
        <f t="shared" si="0"/>
        <v>0</v>
      </c>
      <c r="K23" s="97"/>
      <c r="L23" s="38"/>
      <c r="M23" s="37">
        <f t="shared" si="1"/>
        <v>0</v>
      </c>
      <c r="N23" s="97"/>
      <c r="O23" s="32"/>
      <c r="P23" s="37"/>
      <c r="Q23" s="97"/>
      <c r="R23" s="37">
        <f t="shared" si="2"/>
        <v>0</v>
      </c>
      <c r="S23" s="27"/>
      <c r="T23" s="27"/>
      <c r="U23" s="27"/>
      <c r="V23" s="27"/>
      <c r="W23" s="27"/>
      <c r="X23" s="27"/>
      <c r="Y23" s="27"/>
    </row>
    <row r="24" spans="1:25" ht="16.899999999999999" customHeight="1">
      <c r="A24" s="89"/>
      <c r="B24" s="79"/>
      <c r="C24" s="18" t="s">
        <v>36</v>
      </c>
      <c r="D24" s="77"/>
      <c r="E24" s="17" t="s">
        <v>173</v>
      </c>
      <c r="F24" s="77"/>
      <c r="G24" s="92"/>
      <c r="H24" s="97"/>
      <c r="I24" s="32"/>
      <c r="J24" s="37">
        <f t="shared" si="0"/>
        <v>0</v>
      </c>
      <c r="K24" s="97"/>
      <c r="L24" s="38"/>
      <c r="M24" s="37">
        <f t="shared" si="1"/>
        <v>0</v>
      </c>
      <c r="N24" s="97"/>
      <c r="O24" s="32"/>
      <c r="P24" s="37"/>
      <c r="Q24" s="97"/>
      <c r="R24" s="37">
        <f t="shared" si="2"/>
        <v>0</v>
      </c>
      <c r="S24" s="27"/>
      <c r="T24" s="27"/>
      <c r="U24" s="27"/>
      <c r="V24" s="27"/>
      <c r="W24" s="27"/>
      <c r="X24" s="27"/>
      <c r="Y24" s="27"/>
    </row>
    <row r="25" spans="1:25" ht="16.899999999999999" customHeight="1">
      <c r="A25" s="89"/>
      <c r="B25" s="79"/>
      <c r="C25" s="18" t="s">
        <v>37</v>
      </c>
      <c r="D25" s="77"/>
      <c r="E25" s="17" t="s">
        <v>173</v>
      </c>
      <c r="F25" s="77"/>
      <c r="G25" s="92"/>
      <c r="H25" s="97"/>
      <c r="I25" s="32"/>
      <c r="J25" s="37">
        <f t="shared" si="0"/>
        <v>0</v>
      </c>
      <c r="K25" s="97"/>
      <c r="L25" s="38"/>
      <c r="M25" s="37">
        <f t="shared" si="1"/>
        <v>0</v>
      </c>
      <c r="N25" s="97"/>
      <c r="O25" s="32"/>
      <c r="P25" s="37"/>
      <c r="Q25" s="97"/>
      <c r="R25" s="37">
        <f t="shared" si="2"/>
        <v>0</v>
      </c>
      <c r="S25" s="27"/>
      <c r="T25" s="27"/>
      <c r="U25" s="27"/>
      <c r="V25" s="27"/>
      <c r="W25" s="27"/>
      <c r="X25" s="27"/>
      <c r="Y25" s="27"/>
    </row>
    <row r="26" spans="1:25" ht="16.899999999999999" customHeight="1">
      <c r="A26" s="89"/>
      <c r="B26" s="79"/>
      <c r="C26" s="18" t="s">
        <v>38</v>
      </c>
      <c r="D26" s="77"/>
      <c r="E26" s="17" t="s">
        <v>173</v>
      </c>
      <c r="F26" s="77"/>
      <c r="G26" s="92"/>
      <c r="H26" s="97"/>
      <c r="I26" s="32"/>
      <c r="J26" s="37">
        <f t="shared" si="0"/>
        <v>0</v>
      </c>
      <c r="K26" s="97"/>
      <c r="L26" s="38"/>
      <c r="M26" s="37">
        <f t="shared" si="1"/>
        <v>0</v>
      </c>
      <c r="N26" s="97"/>
      <c r="O26" s="32"/>
      <c r="P26" s="37"/>
      <c r="Q26" s="97"/>
      <c r="R26" s="37">
        <f t="shared" si="2"/>
        <v>0</v>
      </c>
      <c r="S26" s="27"/>
      <c r="T26" s="27"/>
      <c r="U26" s="27"/>
      <c r="V26" s="27"/>
      <c r="W26" s="27"/>
      <c r="X26" s="27"/>
      <c r="Y26" s="27"/>
    </row>
    <row r="27" spans="1:25" ht="24.6" customHeight="1">
      <c r="A27" s="89"/>
      <c r="B27" s="79"/>
      <c r="C27" s="26" t="s">
        <v>39</v>
      </c>
      <c r="D27" s="77"/>
      <c r="E27" s="17" t="s">
        <v>173</v>
      </c>
      <c r="F27" s="77"/>
      <c r="G27" s="92"/>
      <c r="H27" s="97"/>
      <c r="I27" s="32"/>
      <c r="J27" s="37">
        <f t="shared" si="0"/>
        <v>0</v>
      </c>
      <c r="K27" s="97"/>
      <c r="L27" s="38"/>
      <c r="M27" s="37">
        <f t="shared" si="1"/>
        <v>0</v>
      </c>
      <c r="N27" s="97"/>
      <c r="O27" s="32"/>
      <c r="P27" s="37"/>
      <c r="Q27" s="97"/>
      <c r="R27" s="37">
        <f t="shared" si="2"/>
        <v>0</v>
      </c>
      <c r="S27" s="27"/>
      <c r="T27" s="27"/>
      <c r="U27" s="27"/>
      <c r="V27" s="27"/>
      <c r="W27" s="27"/>
      <c r="X27" s="27"/>
      <c r="Y27" s="27"/>
    </row>
    <row r="28" spans="1:25" ht="16.899999999999999" customHeight="1">
      <c r="A28" s="89"/>
      <c r="B28" s="79"/>
      <c r="C28" s="16" t="s">
        <v>40</v>
      </c>
      <c r="D28" s="77"/>
      <c r="E28" s="17" t="s">
        <v>173</v>
      </c>
      <c r="F28" s="77"/>
      <c r="G28" s="92"/>
      <c r="H28" s="97"/>
      <c r="I28" s="32"/>
      <c r="J28" s="37">
        <f t="shared" si="0"/>
        <v>0</v>
      </c>
      <c r="K28" s="97"/>
      <c r="L28" s="38"/>
      <c r="M28" s="37">
        <f t="shared" si="1"/>
        <v>0</v>
      </c>
      <c r="N28" s="97"/>
      <c r="O28" s="32"/>
      <c r="P28" s="37"/>
      <c r="Q28" s="97"/>
      <c r="R28" s="37">
        <f t="shared" si="2"/>
        <v>0</v>
      </c>
      <c r="S28" s="27"/>
      <c r="T28" s="27"/>
      <c r="U28" s="27"/>
      <c r="V28" s="27"/>
      <c r="W28" s="27"/>
      <c r="X28" s="27"/>
      <c r="Y28" s="27"/>
    </row>
    <row r="29" spans="1:25" ht="16.899999999999999" customHeight="1">
      <c r="A29" s="89"/>
      <c r="B29" s="79"/>
      <c r="C29" s="16" t="s">
        <v>41</v>
      </c>
      <c r="D29" s="77"/>
      <c r="E29" s="17" t="s">
        <v>173</v>
      </c>
      <c r="F29" s="77"/>
      <c r="G29" s="92"/>
      <c r="H29" s="97"/>
      <c r="I29" s="32"/>
      <c r="J29" s="37">
        <f t="shared" si="0"/>
        <v>0</v>
      </c>
      <c r="K29" s="97"/>
      <c r="L29" s="38"/>
      <c r="M29" s="37">
        <f t="shared" si="1"/>
        <v>0</v>
      </c>
      <c r="N29" s="97"/>
      <c r="O29" s="32"/>
      <c r="P29" s="37"/>
      <c r="Q29" s="97"/>
      <c r="R29" s="37">
        <f t="shared" si="2"/>
        <v>0</v>
      </c>
      <c r="S29" s="27"/>
      <c r="T29" s="27"/>
      <c r="U29" s="27"/>
      <c r="V29" s="27"/>
      <c r="W29" s="27"/>
      <c r="X29" s="27"/>
      <c r="Y29" s="27"/>
    </row>
    <row r="30" spans="1:25" ht="16.899999999999999" customHeight="1">
      <c r="A30" s="89"/>
      <c r="B30" s="79"/>
      <c r="C30" s="16" t="s">
        <v>42</v>
      </c>
      <c r="D30" s="77"/>
      <c r="E30" s="17" t="s">
        <v>173</v>
      </c>
      <c r="F30" s="77"/>
      <c r="G30" s="92"/>
      <c r="H30" s="97"/>
      <c r="I30" s="32"/>
      <c r="J30" s="37">
        <f t="shared" si="0"/>
        <v>0</v>
      </c>
      <c r="K30" s="97"/>
      <c r="L30" s="38"/>
      <c r="M30" s="37">
        <f t="shared" si="1"/>
        <v>0</v>
      </c>
      <c r="N30" s="97"/>
      <c r="O30" s="32"/>
      <c r="P30" s="37"/>
      <c r="Q30" s="97"/>
      <c r="R30" s="37">
        <f t="shared" si="2"/>
        <v>0</v>
      </c>
      <c r="S30" s="27"/>
      <c r="T30" s="27"/>
      <c r="U30" s="27"/>
      <c r="V30" s="27"/>
      <c r="W30" s="27"/>
      <c r="X30" s="27"/>
      <c r="Y30" s="27"/>
    </row>
    <row r="31" spans="1:25" ht="16.899999999999999" customHeight="1">
      <c r="A31" s="89"/>
      <c r="B31" s="79"/>
      <c r="C31" s="16" t="s">
        <v>43</v>
      </c>
      <c r="D31" s="77"/>
      <c r="E31" s="17" t="s">
        <v>173</v>
      </c>
      <c r="F31" s="77"/>
      <c r="G31" s="92"/>
      <c r="H31" s="97"/>
      <c r="I31" s="32"/>
      <c r="J31" s="37">
        <f t="shared" si="0"/>
        <v>0</v>
      </c>
      <c r="K31" s="97"/>
      <c r="L31" s="38"/>
      <c r="M31" s="37">
        <f t="shared" si="1"/>
        <v>0</v>
      </c>
      <c r="N31" s="97"/>
      <c r="O31" s="32"/>
      <c r="P31" s="37"/>
      <c r="Q31" s="97"/>
      <c r="R31" s="37">
        <f t="shared" si="2"/>
        <v>0</v>
      </c>
      <c r="S31" s="27"/>
      <c r="T31" s="27"/>
      <c r="U31" s="27"/>
      <c r="V31" s="27"/>
      <c r="W31" s="27"/>
      <c r="X31" s="27"/>
      <c r="Y31" s="27"/>
    </row>
    <row r="32" spans="1:25" ht="16.899999999999999" customHeight="1">
      <c r="A32" s="89"/>
      <c r="B32" s="79"/>
      <c r="C32" s="16" t="s">
        <v>44</v>
      </c>
      <c r="D32" s="77"/>
      <c r="E32" s="17" t="s">
        <v>173</v>
      </c>
      <c r="F32" s="77"/>
      <c r="G32" s="92"/>
      <c r="H32" s="97"/>
      <c r="I32" s="32"/>
      <c r="J32" s="37">
        <f t="shared" si="0"/>
        <v>0</v>
      </c>
      <c r="K32" s="97"/>
      <c r="L32" s="38"/>
      <c r="M32" s="37">
        <f t="shared" si="1"/>
        <v>0</v>
      </c>
      <c r="N32" s="97"/>
      <c r="O32" s="32"/>
      <c r="P32" s="37"/>
      <c r="Q32" s="97"/>
      <c r="R32" s="37">
        <f t="shared" si="2"/>
        <v>0</v>
      </c>
      <c r="S32" s="27"/>
      <c r="T32" s="27"/>
      <c r="U32" s="27"/>
      <c r="V32" s="27"/>
      <c r="W32" s="27"/>
      <c r="X32" s="27"/>
      <c r="Y32" s="27"/>
    </row>
    <row r="33" spans="1:25" ht="16.899999999999999" customHeight="1">
      <c r="A33" s="89"/>
      <c r="B33" s="79" t="s">
        <v>45</v>
      </c>
      <c r="C33" s="16" t="s">
        <v>45</v>
      </c>
      <c r="D33" s="77"/>
      <c r="E33" s="17" t="s">
        <v>172</v>
      </c>
      <c r="F33" s="77"/>
      <c r="G33" s="92"/>
      <c r="H33" s="97">
        <v>1840</v>
      </c>
      <c r="I33" s="32"/>
      <c r="J33" s="37">
        <f t="shared" si="0"/>
        <v>0</v>
      </c>
      <c r="K33" s="97">
        <v>95</v>
      </c>
      <c r="L33" s="38"/>
      <c r="M33" s="37">
        <f t="shared" si="1"/>
        <v>0</v>
      </c>
      <c r="N33" s="97">
        <v>14</v>
      </c>
      <c r="O33" s="32"/>
      <c r="P33" s="37"/>
      <c r="Q33" s="97">
        <v>1949</v>
      </c>
      <c r="R33" s="37">
        <f t="shared" si="2"/>
        <v>0</v>
      </c>
      <c r="S33" s="27"/>
      <c r="T33" s="27"/>
      <c r="U33" s="27"/>
      <c r="V33" s="27"/>
      <c r="W33" s="27"/>
      <c r="X33" s="27"/>
      <c r="Y33" s="27"/>
    </row>
    <row r="34" spans="1:25" ht="16.899999999999999" customHeight="1">
      <c r="A34" s="89"/>
      <c r="B34" s="79"/>
      <c r="C34" s="16" t="s">
        <v>46</v>
      </c>
      <c r="D34" s="77"/>
      <c r="E34" s="17" t="s">
        <v>173</v>
      </c>
      <c r="F34" s="77"/>
      <c r="G34" s="92"/>
      <c r="H34" s="97"/>
      <c r="I34" s="32"/>
      <c r="J34" s="37">
        <f t="shared" si="0"/>
        <v>0</v>
      </c>
      <c r="K34" s="97"/>
      <c r="L34" s="38"/>
      <c r="M34" s="37">
        <f t="shared" si="1"/>
        <v>0</v>
      </c>
      <c r="N34" s="97"/>
      <c r="O34" s="32"/>
      <c r="P34" s="37"/>
      <c r="Q34" s="97"/>
      <c r="R34" s="37">
        <f t="shared" si="2"/>
        <v>0</v>
      </c>
      <c r="S34" s="27"/>
      <c r="T34" s="27"/>
      <c r="U34" s="27"/>
      <c r="V34" s="27"/>
      <c r="W34" s="27"/>
      <c r="X34" s="27"/>
      <c r="Y34" s="27"/>
    </row>
    <row r="35" spans="1:25" ht="16.899999999999999" customHeight="1">
      <c r="A35" s="89"/>
      <c r="B35" s="79"/>
      <c r="C35" s="16" t="s">
        <v>48</v>
      </c>
      <c r="D35" s="77"/>
      <c r="E35" s="17" t="s">
        <v>173</v>
      </c>
      <c r="F35" s="77"/>
      <c r="G35" s="92"/>
      <c r="H35" s="97"/>
      <c r="I35" s="32"/>
      <c r="J35" s="37">
        <f t="shared" si="0"/>
        <v>0</v>
      </c>
      <c r="K35" s="97"/>
      <c r="L35" s="38"/>
      <c r="M35" s="37">
        <f t="shared" si="1"/>
        <v>0</v>
      </c>
      <c r="N35" s="97"/>
      <c r="O35" s="32"/>
      <c r="P35" s="37"/>
      <c r="Q35" s="97"/>
      <c r="R35" s="37">
        <f t="shared" si="2"/>
        <v>0</v>
      </c>
      <c r="S35" s="27"/>
      <c r="T35" s="27"/>
      <c r="U35" s="27"/>
      <c r="V35" s="27"/>
      <c r="W35" s="27"/>
      <c r="X35" s="27"/>
      <c r="Y35" s="27"/>
    </row>
    <row r="36" spans="1:25" ht="16.899999999999999" customHeight="1">
      <c r="A36" s="89"/>
      <c r="B36" s="79"/>
      <c r="C36" s="16" t="s">
        <v>49</v>
      </c>
      <c r="D36" s="77"/>
      <c r="E36" s="17" t="s">
        <v>173</v>
      </c>
      <c r="F36" s="77"/>
      <c r="G36" s="92"/>
      <c r="H36" s="97"/>
      <c r="I36" s="32"/>
      <c r="J36" s="37">
        <f t="shared" si="0"/>
        <v>0</v>
      </c>
      <c r="K36" s="97"/>
      <c r="L36" s="38"/>
      <c r="M36" s="37">
        <f t="shared" si="1"/>
        <v>0</v>
      </c>
      <c r="N36" s="97"/>
      <c r="O36" s="32"/>
      <c r="P36" s="37"/>
      <c r="Q36" s="97"/>
      <c r="R36" s="37">
        <f t="shared" si="2"/>
        <v>0</v>
      </c>
      <c r="S36" s="27"/>
      <c r="T36" s="27"/>
      <c r="U36" s="27"/>
      <c r="V36" s="27"/>
      <c r="W36" s="27"/>
      <c r="X36" s="27"/>
      <c r="Y36" s="27"/>
    </row>
    <row r="37" spans="1:25" ht="16.899999999999999" customHeight="1">
      <c r="A37" s="89"/>
      <c r="B37" s="79"/>
      <c r="C37" s="16" t="s">
        <v>50</v>
      </c>
      <c r="D37" s="77"/>
      <c r="E37" s="17" t="s">
        <v>173</v>
      </c>
      <c r="F37" s="77"/>
      <c r="G37" s="92"/>
      <c r="H37" s="97"/>
      <c r="I37" s="32"/>
      <c r="J37" s="37">
        <f t="shared" si="0"/>
        <v>0</v>
      </c>
      <c r="K37" s="97"/>
      <c r="L37" s="38"/>
      <c r="M37" s="37">
        <f t="shared" si="1"/>
        <v>0</v>
      </c>
      <c r="N37" s="97"/>
      <c r="O37" s="32"/>
      <c r="P37" s="37"/>
      <c r="Q37" s="97"/>
      <c r="R37" s="37">
        <f t="shared" si="2"/>
        <v>0</v>
      </c>
      <c r="S37" s="27"/>
      <c r="T37" s="27"/>
      <c r="U37" s="27"/>
      <c r="V37" s="27"/>
      <c r="W37" s="27"/>
      <c r="X37" s="27"/>
      <c r="Y37" s="27"/>
    </row>
    <row r="38" spans="1:25" ht="16.899999999999999" customHeight="1">
      <c r="A38" s="89"/>
      <c r="B38" s="79"/>
      <c r="C38" s="16" t="s">
        <v>51</v>
      </c>
      <c r="D38" s="77"/>
      <c r="E38" s="80" t="s">
        <v>172</v>
      </c>
      <c r="F38" s="77"/>
      <c r="G38" s="92"/>
      <c r="H38" s="97"/>
      <c r="I38" s="32"/>
      <c r="J38" s="37">
        <f t="shared" si="0"/>
        <v>0</v>
      </c>
      <c r="K38" s="97"/>
      <c r="L38" s="38"/>
      <c r="M38" s="37">
        <f t="shared" si="1"/>
        <v>0</v>
      </c>
      <c r="N38" s="97"/>
      <c r="O38" s="32"/>
      <c r="P38" s="37"/>
      <c r="Q38" s="97"/>
      <c r="R38" s="37">
        <f t="shared" si="2"/>
        <v>0</v>
      </c>
      <c r="S38" s="27"/>
      <c r="T38" s="27"/>
      <c r="U38" s="27"/>
      <c r="V38" s="27"/>
      <c r="W38" s="27"/>
      <c r="X38" s="27"/>
      <c r="Y38" s="27"/>
    </row>
    <row r="39" spans="1:25" ht="16.899999999999999" customHeight="1">
      <c r="A39" s="89"/>
      <c r="B39" s="79"/>
      <c r="C39" s="16" t="s">
        <v>53</v>
      </c>
      <c r="D39" s="77"/>
      <c r="E39" s="80"/>
      <c r="F39" s="77"/>
      <c r="G39" s="92"/>
      <c r="H39" s="97"/>
      <c r="I39" s="32"/>
      <c r="J39" s="37">
        <f t="shared" si="0"/>
        <v>0</v>
      </c>
      <c r="K39" s="97"/>
      <c r="L39" s="38"/>
      <c r="M39" s="37">
        <f t="shared" si="1"/>
        <v>0</v>
      </c>
      <c r="N39" s="97"/>
      <c r="O39" s="32"/>
      <c r="P39" s="37"/>
      <c r="Q39" s="97"/>
      <c r="R39" s="37">
        <f t="shared" si="2"/>
        <v>0</v>
      </c>
      <c r="S39" s="27"/>
      <c r="T39" s="27"/>
      <c r="U39" s="27"/>
      <c r="V39" s="27"/>
      <c r="W39" s="27"/>
      <c r="X39" s="27"/>
      <c r="Y39" s="27"/>
    </row>
    <row r="40" spans="1:25" ht="16.899999999999999" customHeight="1">
      <c r="A40" s="89"/>
      <c r="B40" s="79"/>
      <c r="C40" s="16" t="s">
        <v>54</v>
      </c>
      <c r="D40" s="77"/>
      <c r="E40" s="17" t="s">
        <v>173</v>
      </c>
      <c r="F40" s="77"/>
      <c r="G40" s="92"/>
      <c r="H40" s="97"/>
      <c r="I40" s="32"/>
      <c r="J40" s="37">
        <f t="shared" si="0"/>
        <v>0</v>
      </c>
      <c r="K40" s="97"/>
      <c r="L40" s="38"/>
      <c r="M40" s="37">
        <f t="shared" si="1"/>
        <v>0</v>
      </c>
      <c r="N40" s="97"/>
      <c r="O40" s="32"/>
      <c r="P40" s="37"/>
      <c r="Q40" s="97"/>
      <c r="R40" s="37">
        <f t="shared" si="2"/>
        <v>0</v>
      </c>
      <c r="S40" s="27"/>
      <c r="T40" s="27"/>
      <c r="U40" s="27"/>
      <c r="V40" s="27"/>
      <c r="W40" s="27"/>
      <c r="X40" s="27"/>
      <c r="Y40" s="27"/>
    </row>
    <row r="41" spans="1:25" ht="16.899999999999999" customHeight="1">
      <c r="A41" s="89"/>
      <c r="B41" s="79"/>
      <c r="C41" s="16" t="s">
        <v>55</v>
      </c>
      <c r="D41" s="77"/>
      <c r="E41" s="17" t="s">
        <v>173</v>
      </c>
      <c r="F41" s="77"/>
      <c r="G41" s="92"/>
      <c r="H41" s="97"/>
      <c r="I41" s="32"/>
      <c r="J41" s="37">
        <f t="shared" si="0"/>
        <v>0</v>
      </c>
      <c r="K41" s="97"/>
      <c r="L41" s="38"/>
      <c r="M41" s="37">
        <f t="shared" si="1"/>
        <v>0</v>
      </c>
      <c r="N41" s="97"/>
      <c r="O41" s="32"/>
      <c r="P41" s="37"/>
      <c r="Q41" s="97"/>
      <c r="R41" s="37">
        <f t="shared" si="2"/>
        <v>0</v>
      </c>
      <c r="S41" s="27"/>
      <c r="T41" s="27"/>
      <c r="U41" s="27"/>
      <c r="V41" s="27"/>
      <c r="W41" s="27"/>
      <c r="X41" s="27"/>
      <c r="Y41" s="27"/>
    </row>
    <row r="42" spans="1:25" ht="16.899999999999999" customHeight="1">
      <c r="A42" s="89"/>
      <c r="B42" s="79" t="s">
        <v>56</v>
      </c>
      <c r="C42" s="16" t="s">
        <v>57</v>
      </c>
      <c r="D42" s="77"/>
      <c r="E42" s="74" t="s">
        <v>173</v>
      </c>
      <c r="F42" s="77"/>
      <c r="G42" s="92"/>
      <c r="H42" s="97">
        <v>670</v>
      </c>
      <c r="I42" s="32"/>
      <c r="J42" s="37">
        <f t="shared" si="0"/>
        <v>0</v>
      </c>
      <c r="K42" s="97">
        <v>30</v>
      </c>
      <c r="L42" s="38"/>
      <c r="M42" s="37">
        <f t="shared" si="1"/>
        <v>0</v>
      </c>
      <c r="N42" s="97">
        <v>6</v>
      </c>
      <c r="O42" s="32"/>
      <c r="P42" s="37"/>
      <c r="Q42" s="97">
        <v>706</v>
      </c>
      <c r="R42" s="37">
        <f t="shared" si="2"/>
        <v>0</v>
      </c>
      <c r="S42" s="27"/>
      <c r="T42" s="27"/>
      <c r="U42" s="27"/>
      <c r="V42" s="27"/>
      <c r="W42" s="27"/>
      <c r="X42" s="27"/>
      <c r="Y42" s="27"/>
    </row>
    <row r="43" spans="1:25" ht="16.899999999999999" customHeight="1">
      <c r="A43" s="89"/>
      <c r="B43" s="79"/>
      <c r="C43" s="16" t="s">
        <v>58</v>
      </c>
      <c r="D43" s="77"/>
      <c r="E43" s="78"/>
      <c r="F43" s="77"/>
      <c r="G43" s="92"/>
      <c r="H43" s="97"/>
      <c r="I43" s="32"/>
      <c r="J43" s="37">
        <f t="shared" si="0"/>
        <v>0</v>
      </c>
      <c r="K43" s="97"/>
      <c r="L43" s="38"/>
      <c r="M43" s="37">
        <f t="shared" si="1"/>
        <v>0</v>
      </c>
      <c r="N43" s="97"/>
      <c r="O43" s="32"/>
      <c r="P43" s="37"/>
      <c r="Q43" s="97"/>
      <c r="R43" s="37">
        <f t="shared" si="2"/>
        <v>0</v>
      </c>
      <c r="S43" s="27"/>
      <c r="T43" s="27"/>
      <c r="U43" s="27"/>
      <c r="V43" s="27"/>
      <c r="W43" s="27"/>
      <c r="X43" s="27"/>
      <c r="Y43" s="27"/>
    </row>
    <row r="44" spans="1:25" ht="16.899999999999999" customHeight="1">
      <c r="A44" s="89"/>
      <c r="B44" s="79"/>
      <c r="C44" s="16" t="s">
        <v>59</v>
      </c>
      <c r="D44" s="77"/>
      <c r="E44" s="78"/>
      <c r="F44" s="77"/>
      <c r="G44" s="92"/>
      <c r="H44" s="97"/>
      <c r="I44" s="32"/>
      <c r="J44" s="37">
        <f t="shared" si="0"/>
        <v>0</v>
      </c>
      <c r="K44" s="97"/>
      <c r="L44" s="38"/>
      <c r="M44" s="37">
        <f t="shared" si="1"/>
        <v>0</v>
      </c>
      <c r="N44" s="97"/>
      <c r="O44" s="32"/>
      <c r="P44" s="37"/>
      <c r="Q44" s="97"/>
      <c r="R44" s="37">
        <f t="shared" si="2"/>
        <v>0</v>
      </c>
      <c r="S44" s="27"/>
      <c r="T44" s="27"/>
      <c r="U44" s="27"/>
      <c r="V44" s="27"/>
      <c r="W44" s="27"/>
      <c r="X44" s="27"/>
      <c r="Y44" s="27"/>
    </row>
    <row r="45" spans="1:25" ht="16.899999999999999" customHeight="1">
      <c r="A45" s="89"/>
      <c r="B45" s="79"/>
      <c r="C45" s="16" t="s">
        <v>60</v>
      </c>
      <c r="D45" s="90"/>
      <c r="E45" s="75"/>
      <c r="F45" s="77"/>
      <c r="G45" s="92"/>
      <c r="H45" s="97"/>
      <c r="I45" s="32"/>
      <c r="J45" s="37">
        <f t="shared" si="0"/>
        <v>0</v>
      </c>
      <c r="K45" s="97"/>
      <c r="L45" s="38"/>
      <c r="M45" s="37">
        <f t="shared" si="1"/>
        <v>0</v>
      </c>
      <c r="N45" s="97"/>
      <c r="O45" s="32"/>
      <c r="P45" s="37"/>
      <c r="Q45" s="97"/>
      <c r="R45" s="37">
        <f t="shared" si="2"/>
        <v>0</v>
      </c>
      <c r="S45" s="27"/>
      <c r="T45" s="27"/>
      <c r="U45" s="27"/>
      <c r="V45" s="27"/>
      <c r="W45" s="27"/>
      <c r="X45" s="27"/>
      <c r="Y45" s="27"/>
    </row>
    <row r="46" spans="1:25" ht="16.899999999999999" customHeight="1">
      <c r="A46" s="89" t="s">
        <v>61</v>
      </c>
      <c r="B46" s="94" t="s">
        <v>62</v>
      </c>
      <c r="C46" s="16" t="s">
        <v>63</v>
      </c>
      <c r="D46" s="76" t="s">
        <v>173</v>
      </c>
      <c r="E46" s="74" t="s">
        <v>173</v>
      </c>
      <c r="F46" s="77"/>
      <c r="G46" s="92"/>
      <c r="H46" s="97">
        <v>270</v>
      </c>
      <c r="I46" s="32"/>
      <c r="J46" s="37">
        <f t="shared" si="0"/>
        <v>0</v>
      </c>
      <c r="K46" s="97">
        <v>10</v>
      </c>
      <c r="L46" s="38"/>
      <c r="M46" s="37">
        <f t="shared" si="1"/>
        <v>0</v>
      </c>
      <c r="N46" s="97">
        <v>1</v>
      </c>
      <c r="O46" s="32"/>
      <c r="P46" s="37"/>
      <c r="Q46" s="97">
        <v>281</v>
      </c>
      <c r="R46" s="37">
        <f t="shared" si="2"/>
        <v>0</v>
      </c>
      <c r="S46" s="27"/>
      <c r="T46" s="27"/>
      <c r="U46" s="27"/>
      <c r="V46" s="27"/>
      <c r="W46" s="27"/>
      <c r="X46" s="27"/>
      <c r="Y46" s="27"/>
    </row>
    <row r="47" spans="1:25" ht="16.899999999999999" customHeight="1">
      <c r="A47" s="89"/>
      <c r="B47" s="95"/>
      <c r="C47" s="16" t="s">
        <v>64</v>
      </c>
      <c r="D47" s="77"/>
      <c r="E47" s="75"/>
      <c r="F47" s="77"/>
      <c r="G47" s="92"/>
      <c r="H47" s="97"/>
      <c r="I47" s="32"/>
      <c r="J47" s="37">
        <f t="shared" si="0"/>
        <v>0</v>
      </c>
      <c r="K47" s="97"/>
      <c r="L47" s="38"/>
      <c r="M47" s="37">
        <f t="shared" si="1"/>
        <v>0</v>
      </c>
      <c r="N47" s="97"/>
      <c r="O47" s="32"/>
      <c r="P47" s="37"/>
      <c r="Q47" s="97"/>
      <c r="R47" s="37">
        <f t="shared" si="2"/>
        <v>0</v>
      </c>
      <c r="S47" s="27"/>
      <c r="T47" s="27"/>
      <c r="U47" s="27"/>
      <c r="V47" s="27"/>
      <c r="W47" s="27"/>
      <c r="X47" s="27"/>
      <c r="Y47" s="27"/>
    </row>
    <row r="48" spans="1:25" ht="16.899999999999999" customHeight="1">
      <c r="A48" s="89"/>
      <c r="B48" s="94" t="s">
        <v>65</v>
      </c>
      <c r="C48" s="16" t="s">
        <v>66</v>
      </c>
      <c r="D48" s="77"/>
      <c r="E48" s="74" t="s">
        <v>173</v>
      </c>
      <c r="F48" s="77"/>
      <c r="G48" s="92"/>
      <c r="H48" s="97">
        <v>310</v>
      </c>
      <c r="I48" s="32"/>
      <c r="J48" s="37">
        <f t="shared" si="0"/>
        <v>0</v>
      </c>
      <c r="K48" s="97">
        <v>15</v>
      </c>
      <c r="L48" s="38"/>
      <c r="M48" s="37">
        <f t="shared" si="1"/>
        <v>0</v>
      </c>
      <c r="N48" s="97">
        <v>2</v>
      </c>
      <c r="O48" s="32"/>
      <c r="P48" s="37"/>
      <c r="Q48" s="97">
        <v>327</v>
      </c>
      <c r="R48" s="37">
        <f t="shared" si="2"/>
        <v>0</v>
      </c>
      <c r="S48" s="27"/>
      <c r="T48" s="27"/>
      <c r="U48" s="27"/>
      <c r="V48" s="27"/>
      <c r="W48" s="27"/>
      <c r="X48" s="27"/>
      <c r="Y48" s="27"/>
    </row>
    <row r="49" spans="1:25" ht="16.899999999999999" customHeight="1">
      <c r="A49" s="89"/>
      <c r="B49" s="95"/>
      <c r="C49" s="16" t="s">
        <v>67</v>
      </c>
      <c r="D49" s="77"/>
      <c r="E49" s="75"/>
      <c r="F49" s="77"/>
      <c r="G49" s="92"/>
      <c r="H49" s="97"/>
      <c r="I49" s="32"/>
      <c r="J49" s="37">
        <f t="shared" si="0"/>
        <v>0</v>
      </c>
      <c r="K49" s="97"/>
      <c r="L49" s="38"/>
      <c r="M49" s="37">
        <f t="shared" si="1"/>
        <v>0</v>
      </c>
      <c r="N49" s="97"/>
      <c r="O49" s="32"/>
      <c r="P49" s="37"/>
      <c r="Q49" s="97"/>
      <c r="R49" s="37">
        <f t="shared" si="2"/>
        <v>0</v>
      </c>
      <c r="S49" s="27"/>
      <c r="T49" s="27"/>
      <c r="U49" s="27"/>
      <c r="V49" s="27"/>
      <c r="W49" s="27"/>
      <c r="X49" s="27"/>
      <c r="Y49" s="27"/>
    </row>
    <row r="50" spans="1:25" ht="16.899999999999999" customHeight="1">
      <c r="A50" s="89"/>
      <c r="B50" s="19" t="s">
        <v>68</v>
      </c>
      <c r="C50" s="16" t="s">
        <v>69</v>
      </c>
      <c r="D50" s="90"/>
      <c r="E50" s="17" t="s">
        <v>173</v>
      </c>
      <c r="F50" s="77"/>
      <c r="G50" s="93"/>
      <c r="H50" s="32">
        <v>190</v>
      </c>
      <c r="I50" s="32"/>
      <c r="J50" s="37">
        <f t="shared" si="0"/>
        <v>0</v>
      </c>
      <c r="K50" s="32">
        <v>8</v>
      </c>
      <c r="L50" s="38"/>
      <c r="M50" s="37">
        <f t="shared" si="1"/>
        <v>0</v>
      </c>
      <c r="N50" s="32">
        <v>1</v>
      </c>
      <c r="O50" s="32"/>
      <c r="P50" s="37"/>
      <c r="Q50" s="32">
        <v>199</v>
      </c>
      <c r="R50" s="37">
        <f t="shared" si="2"/>
        <v>0</v>
      </c>
      <c r="S50" s="27"/>
      <c r="T50" s="27"/>
      <c r="U50" s="27"/>
      <c r="V50" s="27"/>
      <c r="W50" s="27"/>
      <c r="X50" s="27"/>
      <c r="Y50" s="27"/>
    </row>
    <row r="51" spans="1:25" ht="16.899999999999999" customHeight="1">
      <c r="A51" s="89" t="s">
        <v>70</v>
      </c>
      <c r="B51" s="79" t="s">
        <v>70</v>
      </c>
      <c r="C51" s="16" t="s">
        <v>71</v>
      </c>
      <c r="D51" s="76" t="s">
        <v>172</v>
      </c>
      <c r="E51" s="74" t="s">
        <v>172</v>
      </c>
      <c r="F51" s="77"/>
      <c r="G51" s="91" t="s">
        <v>172</v>
      </c>
      <c r="H51" s="97">
        <v>1420</v>
      </c>
      <c r="I51" s="32"/>
      <c r="J51" s="37">
        <f t="shared" si="0"/>
        <v>0</v>
      </c>
      <c r="K51" s="97">
        <v>65</v>
      </c>
      <c r="L51" s="38"/>
      <c r="M51" s="37">
        <f t="shared" si="1"/>
        <v>0</v>
      </c>
      <c r="N51" s="97">
        <v>8</v>
      </c>
      <c r="O51" s="32"/>
      <c r="P51" s="37"/>
      <c r="Q51" s="97">
        <v>1493</v>
      </c>
      <c r="R51" s="37">
        <f t="shared" si="2"/>
        <v>0</v>
      </c>
      <c r="S51" s="27"/>
      <c r="T51" s="27"/>
      <c r="U51" s="27"/>
      <c r="V51" s="27"/>
      <c r="W51" s="27"/>
      <c r="X51" s="27"/>
      <c r="Y51" s="27"/>
    </row>
    <row r="52" spans="1:25" ht="16.899999999999999" customHeight="1">
      <c r="A52" s="89"/>
      <c r="B52" s="79"/>
      <c r="C52" s="16" t="s">
        <v>75</v>
      </c>
      <c r="D52" s="77"/>
      <c r="E52" s="78"/>
      <c r="F52" s="77"/>
      <c r="G52" s="92"/>
      <c r="H52" s="97"/>
      <c r="I52" s="32"/>
      <c r="J52" s="37">
        <f t="shared" si="0"/>
        <v>0</v>
      </c>
      <c r="K52" s="97"/>
      <c r="L52" s="38"/>
      <c r="M52" s="37">
        <f t="shared" si="1"/>
        <v>0</v>
      </c>
      <c r="N52" s="97"/>
      <c r="O52" s="32"/>
      <c r="P52" s="37"/>
      <c r="Q52" s="97"/>
      <c r="R52" s="37">
        <f t="shared" si="2"/>
        <v>0</v>
      </c>
      <c r="S52" s="27"/>
      <c r="T52" s="27"/>
      <c r="U52" s="27"/>
      <c r="V52" s="27"/>
      <c r="W52" s="27"/>
      <c r="X52" s="27"/>
      <c r="Y52" s="27"/>
    </row>
    <row r="53" spans="1:25" ht="16.899999999999999" customHeight="1">
      <c r="A53" s="89"/>
      <c r="B53" s="79"/>
      <c r="C53" s="16" t="s">
        <v>76</v>
      </c>
      <c r="D53" s="77"/>
      <c r="E53" s="78"/>
      <c r="F53" s="77"/>
      <c r="G53" s="92"/>
      <c r="H53" s="97"/>
      <c r="I53" s="32"/>
      <c r="J53" s="37">
        <f t="shared" si="0"/>
        <v>0</v>
      </c>
      <c r="K53" s="97"/>
      <c r="L53" s="38"/>
      <c r="M53" s="37">
        <f t="shared" si="1"/>
        <v>0</v>
      </c>
      <c r="N53" s="97"/>
      <c r="O53" s="32"/>
      <c r="P53" s="37"/>
      <c r="Q53" s="97"/>
      <c r="R53" s="37">
        <f t="shared" si="2"/>
        <v>0</v>
      </c>
      <c r="S53" s="27"/>
      <c r="T53" s="27"/>
      <c r="U53" s="27"/>
      <c r="V53" s="27"/>
      <c r="W53" s="27"/>
      <c r="X53" s="27"/>
      <c r="Y53" s="27"/>
    </row>
    <row r="54" spans="1:25" ht="16.899999999999999" customHeight="1">
      <c r="A54" s="89"/>
      <c r="B54" s="79"/>
      <c r="C54" s="16" t="s">
        <v>77</v>
      </c>
      <c r="D54" s="77"/>
      <c r="E54" s="78"/>
      <c r="F54" s="77"/>
      <c r="G54" s="92"/>
      <c r="H54" s="97"/>
      <c r="I54" s="32"/>
      <c r="J54" s="37">
        <f t="shared" si="0"/>
        <v>0</v>
      </c>
      <c r="K54" s="97"/>
      <c r="L54" s="38"/>
      <c r="M54" s="37">
        <f t="shared" si="1"/>
        <v>0</v>
      </c>
      <c r="N54" s="97"/>
      <c r="O54" s="32"/>
      <c r="P54" s="37"/>
      <c r="Q54" s="97"/>
      <c r="R54" s="37">
        <f t="shared" si="2"/>
        <v>0</v>
      </c>
      <c r="S54" s="27"/>
      <c r="T54" s="27"/>
      <c r="U54" s="27"/>
      <c r="V54" s="27"/>
      <c r="W54" s="27"/>
      <c r="X54" s="27"/>
      <c r="Y54" s="27"/>
    </row>
    <row r="55" spans="1:25" ht="16.899999999999999" customHeight="1">
      <c r="A55" s="89"/>
      <c r="B55" s="79"/>
      <c r="C55" s="16" t="s">
        <v>78</v>
      </c>
      <c r="D55" s="77"/>
      <c r="E55" s="75"/>
      <c r="F55" s="77"/>
      <c r="G55" s="92"/>
      <c r="H55" s="97"/>
      <c r="I55" s="32"/>
      <c r="J55" s="37">
        <f t="shared" si="0"/>
        <v>0</v>
      </c>
      <c r="K55" s="97"/>
      <c r="L55" s="38"/>
      <c r="M55" s="37">
        <f t="shared" si="1"/>
        <v>0</v>
      </c>
      <c r="N55" s="97"/>
      <c r="O55" s="32"/>
      <c r="P55" s="37"/>
      <c r="Q55" s="97"/>
      <c r="R55" s="37">
        <f t="shared" si="2"/>
        <v>0</v>
      </c>
      <c r="S55" s="27"/>
      <c r="T55" s="27"/>
      <c r="U55" s="27"/>
      <c r="V55" s="27"/>
      <c r="W55" s="27"/>
      <c r="X55" s="27"/>
      <c r="Y55" s="27"/>
    </row>
    <row r="56" spans="1:25" ht="16.899999999999999" customHeight="1">
      <c r="A56" s="89" t="s">
        <v>79</v>
      </c>
      <c r="B56" s="96" t="s">
        <v>80</v>
      </c>
      <c r="C56" s="16" t="s">
        <v>81</v>
      </c>
      <c r="D56" s="77"/>
      <c r="E56" s="74" t="s">
        <v>173</v>
      </c>
      <c r="F56" s="77"/>
      <c r="G56" s="92"/>
      <c r="H56" s="97">
        <v>830</v>
      </c>
      <c r="I56" s="32"/>
      <c r="J56" s="37">
        <f t="shared" si="0"/>
        <v>0</v>
      </c>
      <c r="K56" s="97">
        <v>35</v>
      </c>
      <c r="L56" s="38"/>
      <c r="M56" s="37">
        <f t="shared" si="1"/>
        <v>0</v>
      </c>
      <c r="N56" s="97">
        <v>3</v>
      </c>
      <c r="O56" s="32"/>
      <c r="P56" s="37"/>
      <c r="Q56" s="97">
        <v>868</v>
      </c>
      <c r="R56" s="37">
        <f t="shared" si="2"/>
        <v>0</v>
      </c>
      <c r="S56" s="27"/>
      <c r="T56" s="27"/>
      <c r="U56" s="27"/>
      <c r="V56" s="27"/>
      <c r="W56" s="27"/>
      <c r="X56" s="27"/>
      <c r="Y56" s="27"/>
    </row>
    <row r="57" spans="1:25" ht="16.899999999999999" customHeight="1">
      <c r="A57" s="89"/>
      <c r="B57" s="96"/>
      <c r="C57" s="16" t="s">
        <v>82</v>
      </c>
      <c r="D57" s="77"/>
      <c r="E57" s="78"/>
      <c r="F57" s="77"/>
      <c r="G57" s="92"/>
      <c r="H57" s="97"/>
      <c r="I57" s="32"/>
      <c r="J57" s="37">
        <f t="shared" si="0"/>
        <v>0</v>
      </c>
      <c r="K57" s="97"/>
      <c r="L57" s="38"/>
      <c r="M57" s="37">
        <f t="shared" si="1"/>
        <v>0</v>
      </c>
      <c r="N57" s="97"/>
      <c r="O57" s="32"/>
      <c r="P57" s="37"/>
      <c r="Q57" s="97"/>
      <c r="R57" s="37">
        <f t="shared" si="2"/>
        <v>0</v>
      </c>
      <c r="S57" s="27"/>
      <c r="T57" s="27"/>
      <c r="U57" s="27"/>
      <c r="V57" s="27"/>
      <c r="W57" s="27"/>
      <c r="X57" s="27"/>
      <c r="Y57" s="27"/>
    </row>
    <row r="58" spans="1:25" ht="16.899999999999999" customHeight="1">
      <c r="A58" s="89"/>
      <c r="B58" s="96"/>
      <c r="C58" s="16" t="s">
        <v>83</v>
      </c>
      <c r="D58" s="77"/>
      <c r="E58" s="75"/>
      <c r="F58" s="77"/>
      <c r="G58" s="92"/>
      <c r="H58" s="97"/>
      <c r="I58" s="32"/>
      <c r="J58" s="37">
        <f t="shared" si="0"/>
        <v>0</v>
      </c>
      <c r="K58" s="97"/>
      <c r="L58" s="38"/>
      <c r="M58" s="37">
        <f t="shared" si="1"/>
        <v>0</v>
      </c>
      <c r="N58" s="97"/>
      <c r="O58" s="32"/>
      <c r="P58" s="37"/>
      <c r="Q58" s="97"/>
      <c r="R58" s="37">
        <f t="shared" si="2"/>
        <v>0</v>
      </c>
      <c r="S58" s="27"/>
      <c r="T58" s="27"/>
      <c r="U58" s="27"/>
      <c r="V58" s="27"/>
      <c r="W58" s="27"/>
      <c r="X58" s="27"/>
      <c r="Y58" s="27"/>
    </row>
    <row r="59" spans="1:25" ht="16.899999999999999" customHeight="1">
      <c r="A59" s="89"/>
      <c r="B59" s="96" t="s">
        <v>84</v>
      </c>
      <c r="C59" s="16" t="s">
        <v>85</v>
      </c>
      <c r="D59" s="77"/>
      <c r="E59" s="74" t="s">
        <v>172</v>
      </c>
      <c r="F59" s="77"/>
      <c r="G59" s="92"/>
      <c r="H59" s="97">
        <v>970</v>
      </c>
      <c r="I59" s="32"/>
      <c r="J59" s="37">
        <f t="shared" si="0"/>
        <v>0</v>
      </c>
      <c r="K59" s="97">
        <v>42</v>
      </c>
      <c r="L59" s="38"/>
      <c r="M59" s="37">
        <f t="shared" si="1"/>
        <v>0</v>
      </c>
      <c r="N59" s="97">
        <v>4</v>
      </c>
      <c r="O59" s="32"/>
      <c r="P59" s="37"/>
      <c r="Q59" s="97">
        <v>1016</v>
      </c>
      <c r="R59" s="37">
        <f t="shared" si="2"/>
        <v>0</v>
      </c>
      <c r="S59" s="27"/>
      <c r="T59" s="27"/>
      <c r="U59" s="27"/>
      <c r="V59" s="27"/>
      <c r="W59" s="27"/>
      <c r="X59" s="27"/>
      <c r="Y59" s="27"/>
    </row>
    <row r="60" spans="1:25" ht="16.899999999999999" customHeight="1">
      <c r="A60" s="89"/>
      <c r="B60" s="96"/>
      <c r="C60" s="16" t="s">
        <v>87</v>
      </c>
      <c r="D60" s="77"/>
      <c r="E60" s="75"/>
      <c r="F60" s="77"/>
      <c r="G60" s="92"/>
      <c r="H60" s="97"/>
      <c r="I60" s="32"/>
      <c r="J60" s="37">
        <f t="shared" si="0"/>
        <v>0</v>
      </c>
      <c r="K60" s="97"/>
      <c r="L60" s="38"/>
      <c r="M60" s="37">
        <f t="shared" si="1"/>
        <v>0</v>
      </c>
      <c r="N60" s="97"/>
      <c r="O60" s="32"/>
      <c r="P60" s="37"/>
      <c r="Q60" s="97"/>
      <c r="R60" s="37">
        <f t="shared" si="2"/>
        <v>0</v>
      </c>
      <c r="S60" s="27"/>
      <c r="T60" s="27"/>
      <c r="U60" s="27"/>
      <c r="V60" s="27"/>
      <c r="W60" s="27"/>
      <c r="X60" s="27"/>
      <c r="Y60" s="27"/>
    </row>
    <row r="61" spans="1:25" ht="16.899999999999999" customHeight="1">
      <c r="A61" s="89"/>
      <c r="B61" s="96" t="s">
        <v>88</v>
      </c>
      <c r="C61" s="16" t="s">
        <v>89</v>
      </c>
      <c r="D61" s="77"/>
      <c r="E61" s="74" t="s">
        <v>173</v>
      </c>
      <c r="F61" s="77"/>
      <c r="G61" s="92"/>
      <c r="H61" s="97">
        <v>710</v>
      </c>
      <c r="I61" s="32"/>
      <c r="J61" s="37">
        <f t="shared" si="0"/>
        <v>0</v>
      </c>
      <c r="K61" s="97">
        <v>31</v>
      </c>
      <c r="L61" s="38"/>
      <c r="M61" s="37">
        <f t="shared" si="1"/>
        <v>0</v>
      </c>
      <c r="N61" s="97">
        <v>3</v>
      </c>
      <c r="O61" s="32"/>
      <c r="P61" s="37"/>
      <c r="Q61" s="97">
        <v>744</v>
      </c>
      <c r="R61" s="37">
        <f t="shared" si="2"/>
        <v>0</v>
      </c>
      <c r="S61" s="27"/>
      <c r="T61" s="27"/>
      <c r="U61" s="27"/>
      <c r="V61" s="27"/>
      <c r="W61" s="27"/>
      <c r="X61" s="27"/>
      <c r="Y61" s="27"/>
    </row>
    <row r="62" spans="1:25" ht="16.899999999999999" customHeight="1">
      <c r="A62" s="89"/>
      <c r="B62" s="96"/>
      <c r="C62" s="16" t="s">
        <v>90</v>
      </c>
      <c r="D62" s="77"/>
      <c r="E62" s="75"/>
      <c r="F62" s="77"/>
      <c r="G62" s="92"/>
      <c r="H62" s="97"/>
      <c r="I62" s="32"/>
      <c r="J62" s="37">
        <f t="shared" si="0"/>
        <v>0</v>
      </c>
      <c r="K62" s="97"/>
      <c r="L62" s="38"/>
      <c r="M62" s="37">
        <f t="shared" si="1"/>
        <v>0</v>
      </c>
      <c r="N62" s="97"/>
      <c r="O62" s="32"/>
      <c r="P62" s="37"/>
      <c r="Q62" s="97"/>
      <c r="R62" s="37">
        <f t="shared" si="2"/>
        <v>0</v>
      </c>
      <c r="S62" s="27"/>
      <c r="T62" s="27"/>
      <c r="U62" s="27"/>
      <c r="V62" s="27"/>
      <c r="W62" s="27"/>
      <c r="X62" s="27"/>
      <c r="Y62" s="27"/>
    </row>
    <row r="63" spans="1:25" ht="16.899999999999999" customHeight="1">
      <c r="A63" s="89"/>
      <c r="B63" s="96" t="s">
        <v>91</v>
      </c>
      <c r="C63" s="16" t="s">
        <v>92</v>
      </c>
      <c r="D63" s="77"/>
      <c r="E63" s="74" t="s">
        <v>173</v>
      </c>
      <c r="F63" s="77"/>
      <c r="G63" s="92"/>
      <c r="H63" s="97">
        <v>540</v>
      </c>
      <c r="I63" s="32"/>
      <c r="J63" s="37">
        <f t="shared" si="0"/>
        <v>0</v>
      </c>
      <c r="K63" s="97">
        <v>20</v>
      </c>
      <c r="L63" s="38"/>
      <c r="M63" s="37">
        <f t="shared" si="1"/>
        <v>0</v>
      </c>
      <c r="N63" s="97">
        <v>2</v>
      </c>
      <c r="O63" s="32"/>
      <c r="P63" s="37"/>
      <c r="Q63" s="97">
        <v>562</v>
      </c>
      <c r="R63" s="37">
        <f t="shared" si="2"/>
        <v>0</v>
      </c>
      <c r="S63" s="27"/>
      <c r="T63" s="27"/>
      <c r="U63" s="27"/>
      <c r="V63" s="27"/>
      <c r="W63" s="27"/>
      <c r="X63" s="27"/>
      <c r="Y63" s="27"/>
    </row>
    <row r="64" spans="1:25" ht="16.899999999999999" customHeight="1">
      <c r="A64" s="89"/>
      <c r="B64" s="96"/>
      <c r="C64" s="16" t="s">
        <v>93</v>
      </c>
      <c r="D64" s="77"/>
      <c r="E64" s="75"/>
      <c r="F64" s="77"/>
      <c r="G64" s="92"/>
      <c r="H64" s="97"/>
      <c r="I64" s="32"/>
      <c r="J64" s="37">
        <f t="shared" si="0"/>
        <v>0</v>
      </c>
      <c r="K64" s="97"/>
      <c r="L64" s="38"/>
      <c r="M64" s="37">
        <f t="shared" si="1"/>
        <v>0</v>
      </c>
      <c r="N64" s="97"/>
      <c r="O64" s="32"/>
      <c r="P64" s="37"/>
      <c r="Q64" s="97"/>
      <c r="R64" s="37">
        <f t="shared" si="2"/>
        <v>0</v>
      </c>
      <c r="S64" s="27"/>
      <c r="T64" s="27"/>
      <c r="U64" s="27"/>
      <c r="V64" s="27"/>
      <c r="W64" s="27"/>
      <c r="X64" s="27"/>
      <c r="Y64" s="27"/>
    </row>
    <row r="65" spans="1:25" ht="16.899999999999999" customHeight="1">
      <c r="A65" s="89"/>
      <c r="B65" s="96" t="s">
        <v>94</v>
      </c>
      <c r="C65" s="16" t="s">
        <v>95</v>
      </c>
      <c r="D65" s="77"/>
      <c r="E65" s="74" t="s">
        <v>172</v>
      </c>
      <c r="F65" s="77"/>
      <c r="G65" s="92"/>
      <c r="H65" s="97"/>
      <c r="I65" s="32"/>
      <c r="J65" s="37">
        <f t="shared" si="0"/>
        <v>0</v>
      </c>
      <c r="K65" s="97"/>
      <c r="L65" s="38"/>
      <c r="M65" s="37">
        <f t="shared" si="1"/>
        <v>0</v>
      </c>
      <c r="N65" s="97"/>
      <c r="O65" s="32"/>
      <c r="P65" s="37"/>
      <c r="Q65" s="97"/>
      <c r="R65" s="37">
        <f t="shared" si="2"/>
        <v>0</v>
      </c>
      <c r="S65" s="27"/>
      <c r="T65" s="27"/>
      <c r="U65" s="27"/>
      <c r="V65" s="27"/>
      <c r="W65" s="27"/>
      <c r="X65" s="27"/>
      <c r="Y65" s="27"/>
    </row>
    <row r="66" spans="1:25" ht="16.899999999999999" customHeight="1">
      <c r="A66" s="89"/>
      <c r="B66" s="96"/>
      <c r="C66" s="16" t="s">
        <v>97</v>
      </c>
      <c r="D66" s="77"/>
      <c r="E66" s="75"/>
      <c r="F66" s="77"/>
      <c r="G66" s="92"/>
      <c r="H66" s="97"/>
      <c r="I66" s="32"/>
      <c r="J66" s="37">
        <f t="shared" si="0"/>
        <v>0</v>
      </c>
      <c r="K66" s="97"/>
      <c r="L66" s="38"/>
      <c r="M66" s="37">
        <f t="shared" si="1"/>
        <v>0</v>
      </c>
      <c r="N66" s="97"/>
      <c r="O66" s="32"/>
      <c r="P66" s="37"/>
      <c r="Q66" s="97"/>
      <c r="R66" s="37">
        <f t="shared" si="2"/>
        <v>0</v>
      </c>
      <c r="S66" s="27"/>
      <c r="T66" s="27"/>
      <c r="U66" s="27"/>
      <c r="V66" s="27"/>
      <c r="W66" s="27"/>
      <c r="X66" s="27"/>
      <c r="Y66" s="27"/>
    </row>
    <row r="67" spans="1:25" ht="16.899999999999999" customHeight="1">
      <c r="A67" s="89"/>
      <c r="B67" s="96" t="s">
        <v>98</v>
      </c>
      <c r="C67" s="16" t="s">
        <v>99</v>
      </c>
      <c r="D67" s="77"/>
      <c r="E67" s="74" t="s">
        <v>172</v>
      </c>
      <c r="F67" s="77"/>
      <c r="G67" s="92"/>
      <c r="H67" s="97"/>
      <c r="I67" s="32"/>
      <c r="J67" s="37">
        <f t="shared" si="0"/>
        <v>0</v>
      </c>
      <c r="K67" s="97"/>
      <c r="L67" s="38"/>
      <c r="M67" s="37">
        <f t="shared" si="1"/>
        <v>0</v>
      </c>
      <c r="N67" s="97"/>
      <c r="O67" s="32"/>
      <c r="P67" s="37"/>
      <c r="Q67" s="97"/>
      <c r="R67" s="37">
        <f t="shared" si="2"/>
        <v>0</v>
      </c>
      <c r="S67" s="27"/>
      <c r="T67" s="27"/>
      <c r="U67" s="27"/>
      <c r="V67" s="27"/>
      <c r="W67" s="27"/>
      <c r="X67" s="27"/>
      <c r="Y67" s="27"/>
    </row>
    <row r="68" spans="1:25" ht="16.899999999999999" customHeight="1">
      <c r="A68" s="89"/>
      <c r="B68" s="96"/>
      <c r="C68" s="16" t="s">
        <v>101</v>
      </c>
      <c r="D68" s="77"/>
      <c r="E68" s="75"/>
      <c r="F68" s="77"/>
      <c r="G68" s="92"/>
      <c r="H68" s="97"/>
      <c r="I68" s="32"/>
      <c r="J68" s="37">
        <f t="shared" ref="J68:J92" si="3">IF(H68=0,0,(I68/H68)*100)</f>
        <v>0</v>
      </c>
      <c r="K68" s="97"/>
      <c r="L68" s="38"/>
      <c r="M68" s="37">
        <f t="shared" ref="M68:M92" si="4">IF(K67=0,0,(L67/K67)*100)</f>
        <v>0</v>
      </c>
      <c r="N68" s="97"/>
      <c r="O68" s="32"/>
      <c r="P68" s="37"/>
      <c r="Q68" s="97"/>
      <c r="R68" s="37">
        <f t="shared" ref="R68:R92" si="5">IF(Q68=0,0, ((I68+L68+O68)/Q68)*100)</f>
        <v>0</v>
      </c>
      <c r="S68" s="27"/>
      <c r="T68" s="27"/>
      <c r="U68" s="27"/>
      <c r="V68" s="27"/>
      <c r="W68" s="27"/>
      <c r="X68" s="27"/>
      <c r="Y68" s="27"/>
    </row>
    <row r="69" spans="1:25" ht="16.899999999999999" customHeight="1">
      <c r="A69" s="89"/>
      <c r="B69" s="96" t="s">
        <v>102</v>
      </c>
      <c r="C69" s="16" t="s">
        <v>103</v>
      </c>
      <c r="D69" s="77"/>
      <c r="E69" s="74" t="s">
        <v>173</v>
      </c>
      <c r="F69" s="77"/>
      <c r="G69" s="86" t="s">
        <v>173</v>
      </c>
      <c r="H69" s="98"/>
      <c r="I69" s="29"/>
      <c r="J69" s="37">
        <f t="shared" si="3"/>
        <v>0</v>
      </c>
      <c r="K69" s="98"/>
      <c r="L69" s="38"/>
      <c r="M69" s="37">
        <f t="shared" si="4"/>
        <v>0</v>
      </c>
      <c r="N69" s="98"/>
      <c r="O69" s="29"/>
      <c r="P69" s="37"/>
      <c r="Q69" s="98"/>
      <c r="R69" s="37">
        <f t="shared" si="5"/>
        <v>0</v>
      </c>
      <c r="S69" s="27"/>
      <c r="T69" s="27"/>
      <c r="U69" s="27"/>
      <c r="V69" s="27"/>
      <c r="W69" s="27"/>
      <c r="X69" s="27"/>
      <c r="Y69" s="27"/>
    </row>
    <row r="70" spans="1:25" ht="16.899999999999999" customHeight="1">
      <c r="A70" s="89"/>
      <c r="B70" s="96"/>
      <c r="C70" s="16" t="s">
        <v>104</v>
      </c>
      <c r="D70" s="90"/>
      <c r="E70" s="75"/>
      <c r="F70" s="77"/>
      <c r="G70" s="88"/>
      <c r="H70" s="99"/>
      <c r="I70" s="31"/>
      <c r="J70" s="37">
        <f t="shared" si="3"/>
        <v>0</v>
      </c>
      <c r="K70" s="99"/>
      <c r="L70" s="38"/>
      <c r="M70" s="37">
        <f t="shared" si="4"/>
        <v>0</v>
      </c>
      <c r="N70" s="99"/>
      <c r="O70" s="31"/>
      <c r="P70" s="37"/>
      <c r="Q70" s="99"/>
      <c r="R70" s="37">
        <f t="shared" si="5"/>
        <v>0</v>
      </c>
      <c r="S70" s="27"/>
      <c r="T70" s="27"/>
      <c r="U70" s="27"/>
      <c r="V70" s="27"/>
      <c r="W70" s="27"/>
      <c r="X70" s="27"/>
      <c r="Y70" s="27"/>
    </row>
    <row r="71" spans="1:25" ht="16.899999999999999" customHeight="1">
      <c r="A71" s="89" t="s">
        <v>105</v>
      </c>
      <c r="B71" s="19" t="s">
        <v>106</v>
      </c>
      <c r="C71" s="16" t="s">
        <v>107</v>
      </c>
      <c r="D71" s="76" t="s">
        <v>172</v>
      </c>
      <c r="E71" s="17" t="s">
        <v>173</v>
      </c>
      <c r="F71" s="77"/>
      <c r="G71" s="74" t="s">
        <v>172</v>
      </c>
      <c r="H71" s="32"/>
      <c r="I71" s="32"/>
      <c r="J71" s="37">
        <f t="shared" si="3"/>
        <v>0</v>
      </c>
      <c r="K71" s="32"/>
      <c r="L71" s="38"/>
      <c r="M71" s="37">
        <f t="shared" si="4"/>
        <v>0</v>
      </c>
      <c r="N71" s="32"/>
      <c r="O71" s="32"/>
      <c r="P71" s="37"/>
      <c r="Q71" s="32"/>
      <c r="R71" s="37">
        <f t="shared" si="5"/>
        <v>0</v>
      </c>
      <c r="S71" s="27"/>
      <c r="T71" s="27"/>
      <c r="U71" s="27"/>
      <c r="V71" s="27"/>
      <c r="W71" s="27"/>
      <c r="X71" s="27"/>
      <c r="Y71" s="27"/>
    </row>
    <row r="72" spans="1:25" ht="16.899999999999999" customHeight="1">
      <c r="A72" s="89"/>
      <c r="B72" s="19" t="s">
        <v>109</v>
      </c>
      <c r="C72" s="16" t="s">
        <v>110</v>
      </c>
      <c r="D72" s="77"/>
      <c r="E72" s="17" t="s">
        <v>173</v>
      </c>
      <c r="F72" s="77"/>
      <c r="G72" s="75"/>
      <c r="H72" s="32">
        <v>260</v>
      </c>
      <c r="I72" s="32"/>
      <c r="J72" s="37">
        <f t="shared" si="3"/>
        <v>0</v>
      </c>
      <c r="K72" s="32">
        <v>11</v>
      </c>
      <c r="L72" s="38"/>
      <c r="M72" s="37">
        <f t="shared" si="4"/>
        <v>0</v>
      </c>
      <c r="N72" s="32">
        <v>1</v>
      </c>
      <c r="O72" s="32"/>
      <c r="P72" s="37"/>
      <c r="Q72" s="32">
        <v>272</v>
      </c>
      <c r="R72" s="37">
        <f t="shared" si="5"/>
        <v>0</v>
      </c>
      <c r="S72" s="27"/>
      <c r="T72" s="27"/>
      <c r="U72" s="27"/>
      <c r="V72" s="27"/>
      <c r="W72" s="27"/>
      <c r="X72" s="27"/>
      <c r="Y72" s="27"/>
    </row>
    <row r="73" spans="1:25" ht="16.899999999999999" customHeight="1">
      <c r="A73" s="89"/>
      <c r="B73" s="19" t="s">
        <v>111</v>
      </c>
      <c r="C73" s="16" t="s">
        <v>112</v>
      </c>
      <c r="D73" s="77"/>
      <c r="E73" s="17" t="s">
        <v>172</v>
      </c>
      <c r="F73" s="77"/>
      <c r="G73" s="74" t="s">
        <v>173</v>
      </c>
      <c r="H73" s="32">
        <v>380</v>
      </c>
      <c r="I73" s="32"/>
      <c r="J73" s="37">
        <f t="shared" si="3"/>
        <v>0</v>
      </c>
      <c r="K73" s="32">
        <v>17</v>
      </c>
      <c r="L73" s="38"/>
      <c r="M73" s="37">
        <f t="shared" si="4"/>
        <v>0</v>
      </c>
      <c r="N73" s="32">
        <v>1</v>
      </c>
      <c r="O73" s="32"/>
      <c r="P73" s="37"/>
      <c r="Q73" s="32">
        <v>398</v>
      </c>
      <c r="R73" s="37">
        <f t="shared" si="5"/>
        <v>0</v>
      </c>
      <c r="S73" s="27"/>
      <c r="T73" s="27"/>
      <c r="U73" s="27"/>
      <c r="V73" s="27"/>
      <c r="W73" s="27"/>
      <c r="X73" s="27"/>
      <c r="Y73" s="27"/>
    </row>
    <row r="74" spans="1:25" ht="16.899999999999999" customHeight="1">
      <c r="A74" s="89"/>
      <c r="B74" s="19" t="s">
        <v>114</v>
      </c>
      <c r="C74" s="16" t="s">
        <v>115</v>
      </c>
      <c r="D74" s="77"/>
      <c r="E74" s="17" t="s">
        <v>172</v>
      </c>
      <c r="F74" s="77"/>
      <c r="G74" s="78"/>
      <c r="H74" s="32">
        <v>420</v>
      </c>
      <c r="I74" s="32"/>
      <c r="J74" s="37">
        <f t="shared" si="3"/>
        <v>0</v>
      </c>
      <c r="K74" s="32">
        <v>20</v>
      </c>
      <c r="L74" s="38"/>
      <c r="M74" s="37">
        <f t="shared" si="4"/>
        <v>0</v>
      </c>
      <c r="N74" s="32">
        <v>1</v>
      </c>
      <c r="O74" s="32"/>
      <c r="P74" s="37"/>
      <c r="Q74" s="32">
        <v>441</v>
      </c>
      <c r="R74" s="37">
        <f t="shared" si="5"/>
        <v>0</v>
      </c>
      <c r="S74" s="27"/>
      <c r="T74" s="27"/>
      <c r="U74" s="27"/>
      <c r="V74" s="27"/>
      <c r="W74" s="27"/>
      <c r="X74" s="27"/>
      <c r="Y74" s="27"/>
    </row>
    <row r="75" spans="1:25" ht="16.899999999999999" customHeight="1">
      <c r="A75" s="89"/>
      <c r="B75" s="19" t="s">
        <v>117</v>
      </c>
      <c r="C75" s="16" t="s">
        <v>118</v>
      </c>
      <c r="D75" s="77"/>
      <c r="E75" s="17" t="s">
        <v>173</v>
      </c>
      <c r="F75" s="77"/>
      <c r="G75" s="78"/>
      <c r="H75" s="32">
        <v>330</v>
      </c>
      <c r="I75" s="32"/>
      <c r="J75" s="37">
        <f t="shared" si="3"/>
        <v>0</v>
      </c>
      <c r="K75" s="32">
        <v>13</v>
      </c>
      <c r="L75" s="38"/>
      <c r="M75" s="37">
        <f t="shared" si="4"/>
        <v>0</v>
      </c>
      <c r="N75" s="32">
        <v>1</v>
      </c>
      <c r="O75" s="32"/>
      <c r="P75" s="37"/>
      <c r="Q75" s="32">
        <v>344</v>
      </c>
      <c r="R75" s="37">
        <f t="shared" si="5"/>
        <v>0</v>
      </c>
      <c r="S75" s="27"/>
      <c r="T75" s="27"/>
      <c r="U75" s="27"/>
      <c r="V75" s="27"/>
      <c r="W75" s="27"/>
      <c r="X75" s="27"/>
      <c r="Y75" s="27"/>
    </row>
    <row r="76" spans="1:25" ht="16.899999999999999" customHeight="1">
      <c r="A76" s="89"/>
      <c r="B76" s="96" t="s">
        <v>119</v>
      </c>
      <c r="C76" s="16" t="s">
        <v>120</v>
      </c>
      <c r="D76" s="77"/>
      <c r="E76" s="74" t="s">
        <v>173</v>
      </c>
      <c r="F76" s="77"/>
      <c r="G76" s="78"/>
      <c r="H76" s="97">
        <v>270</v>
      </c>
      <c r="I76" s="32"/>
      <c r="J76" s="37">
        <f t="shared" si="3"/>
        <v>0</v>
      </c>
      <c r="K76" s="97">
        <v>11</v>
      </c>
      <c r="L76" s="38"/>
      <c r="M76" s="37">
        <f t="shared" si="4"/>
        <v>0</v>
      </c>
      <c r="N76" s="97">
        <v>1</v>
      </c>
      <c r="O76" s="32"/>
      <c r="P76" s="37"/>
      <c r="Q76" s="97">
        <v>282</v>
      </c>
      <c r="R76" s="37">
        <f t="shared" si="5"/>
        <v>0</v>
      </c>
      <c r="S76" s="27"/>
      <c r="T76" s="27"/>
      <c r="U76" s="27"/>
      <c r="V76" s="27"/>
      <c r="W76" s="27"/>
      <c r="X76" s="27"/>
      <c r="Y76" s="27"/>
    </row>
    <row r="77" spans="1:25" ht="16.899999999999999" customHeight="1">
      <c r="A77" s="89"/>
      <c r="B77" s="96"/>
      <c r="C77" s="16" t="s">
        <v>121</v>
      </c>
      <c r="D77" s="77"/>
      <c r="E77" s="75"/>
      <c r="F77" s="77"/>
      <c r="G77" s="78"/>
      <c r="H77" s="97"/>
      <c r="I77" s="32"/>
      <c r="J77" s="37">
        <f t="shared" si="3"/>
        <v>0</v>
      </c>
      <c r="K77" s="97"/>
      <c r="L77" s="38"/>
      <c r="M77" s="37">
        <f t="shared" si="4"/>
        <v>0</v>
      </c>
      <c r="N77" s="97"/>
      <c r="O77" s="32"/>
      <c r="P77" s="37"/>
      <c r="Q77" s="97"/>
      <c r="R77" s="37">
        <f t="shared" si="5"/>
        <v>0</v>
      </c>
      <c r="S77" s="27"/>
      <c r="T77" s="27"/>
      <c r="U77" s="27"/>
      <c r="V77" s="27"/>
      <c r="W77" s="27"/>
      <c r="X77" s="27"/>
      <c r="Y77" s="27"/>
    </row>
    <row r="78" spans="1:25" ht="16.899999999999999" customHeight="1">
      <c r="A78" s="89"/>
      <c r="B78" s="19" t="s">
        <v>122</v>
      </c>
      <c r="C78" s="16" t="s">
        <v>123</v>
      </c>
      <c r="D78" s="77"/>
      <c r="E78" s="17" t="s">
        <v>173</v>
      </c>
      <c r="F78" s="77"/>
      <c r="G78" s="78"/>
      <c r="H78" s="32">
        <v>150</v>
      </c>
      <c r="I78" s="32"/>
      <c r="J78" s="37">
        <f t="shared" si="3"/>
        <v>0</v>
      </c>
      <c r="K78" s="32">
        <v>7</v>
      </c>
      <c r="L78" s="38"/>
      <c r="M78" s="37">
        <f t="shared" si="4"/>
        <v>0</v>
      </c>
      <c r="N78" s="32">
        <v>1</v>
      </c>
      <c r="O78" s="32"/>
      <c r="P78" s="37"/>
      <c r="Q78" s="32">
        <v>158</v>
      </c>
      <c r="R78" s="37">
        <f t="shared" si="5"/>
        <v>0</v>
      </c>
      <c r="S78" s="27"/>
      <c r="T78" s="27"/>
      <c r="U78" s="27"/>
      <c r="V78" s="27"/>
      <c r="W78" s="27"/>
      <c r="X78" s="27"/>
      <c r="Y78" s="27"/>
    </row>
    <row r="79" spans="1:25" ht="16.899999999999999" customHeight="1">
      <c r="A79" s="89"/>
      <c r="B79" s="96" t="s">
        <v>124</v>
      </c>
      <c r="C79" s="16" t="s">
        <v>125</v>
      </c>
      <c r="D79" s="77"/>
      <c r="E79" s="74" t="s">
        <v>173</v>
      </c>
      <c r="F79" s="77"/>
      <c r="G79" s="78"/>
      <c r="H79" s="97">
        <v>130</v>
      </c>
      <c r="I79" s="32"/>
      <c r="J79" s="37">
        <f t="shared" si="3"/>
        <v>0</v>
      </c>
      <c r="K79" s="97">
        <v>5</v>
      </c>
      <c r="L79" s="38"/>
      <c r="M79" s="37">
        <f t="shared" si="4"/>
        <v>0</v>
      </c>
      <c r="N79" s="97">
        <v>1</v>
      </c>
      <c r="O79" s="32"/>
      <c r="P79" s="37"/>
      <c r="Q79" s="97">
        <v>136</v>
      </c>
      <c r="R79" s="37">
        <f t="shared" si="5"/>
        <v>0</v>
      </c>
      <c r="S79" s="27"/>
      <c r="T79" s="27"/>
      <c r="U79" s="27"/>
      <c r="V79" s="27"/>
      <c r="W79" s="27"/>
      <c r="X79" s="27"/>
      <c r="Y79" s="27"/>
    </row>
    <row r="80" spans="1:25" ht="16.899999999999999" customHeight="1">
      <c r="A80" s="89"/>
      <c r="B80" s="96"/>
      <c r="C80" s="16" t="s">
        <v>126</v>
      </c>
      <c r="D80" s="77"/>
      <c r="E80" s="75"/>
      <c r="F80" s="90"/>
      <c r="G80" s="75"/>
      <c r="H80" s="97"/>
      <c r="I80" s="32"/>
      <c r="J80" s="37">
        <f t="shared" si="3"/>
        <v>0</v>
      </c>
      <c r="K80" s="97"/>
      <c r="L80" s="38"/>
      <c r="M80" s="37">
        <f t="shared" si="4"/>
        <v>0</v>
      </c>
      <c r="N80" s="97"/>
      <c r="O80" s="32"/>
      <c r="P80" s="37"/>
      <c r="Q80" s="97"/>
      <c r="R80" s="37">
        <f t="shared" si="5"/>
        <v>0</v>
      </c>
      <c r="S80" s="27"/>
      <c r="T80" s="27"/>
      <c r="U80" s="27"/>
      <c r="V80" s="27"/>
      <c r="W80" s="27"/>
      <c r="X80" s="27"/>
      <c r="Y80" s="27"/>
    </row>
    <row r="81" spans="1:25" ht="16.899999999999999" customHeight="1">
      <c r="A81" s="89" t="s">
        <v>127</v>
      </c>
      <c r="B81" s="96" t="s">
        <v>128</v>
      </c>
      <c r="C81" s="16" t="s">
        <v>129</v>
      </c>
      <c r="D81" s="76"/>
      <c r="E81" s="74" t="s">
        <v>173</v>
      </c>
      <c r="F81" s="83"/>
      <c r="G81" s="86" t="s">
        <v>173</v>
      </c>
      <c r="H81" s="97">
        <v>80</v>
      </c>
      <c r="I81" s="32"/>
      <c r="J81" s="37">
        <f t="shared" si="3"/>
        <v>0</v>
      </c>
      <c r="K81" s="97">
        <v>4</v>
      </c>
      <c r="L81" s="38"/>
      <c r="M81" s="37">
        <f t="shared" si="4"/>
        <v>0</v>
      </c>
      <c r="N81" s="97">
        <v>0</v>
      </c>
      <c r="O81" s="32"/>
      <c r="P81" s="37"/>
      <c r="Q81" s="97">
        <v>84</v>
      </c>
      <c r="R81" s="37">
        <f t="shared" si="5"/>
        <v>0</v>
      </c>
      <c r="S81" s="27"/>
      <c r="T81" s="27"/>
      <c r="U81" s="27"/>
      <c r="V81" s="27"/>
      <c r="W81" s="27"/>
      <c r="X81" s="27"/>
      <c r="Y81" s="27"/>
    </row>
    <row r="82" spans="1:25" ht="16.899999999999999" customHeight="1">
      <c r="A82" s="89"/>
      <c r="B82" s="96"/>
      <c r="C82" s="16" t="s">
        <v>130</v>
      </c>
      <c r="D82" s="77"/>
      <c r="E82" s="78"/>
      <c r="F82" s="84"/>
      <c r="G82" s="87"/>
      <c r="H82" s="97"/>
      <c r="I82" s="32"/>
      <c r="J82" s="37">
        <f t="shared" si="3"/>
        <v>0</v>
      </c>
      <c r="K82" s="97"/>
      <c r="L82" s="38"/>
      <c r="M82" s="37">
        <f t="shared" si="4"/>
        <v>0</v>
      </c>
      <c r="N82" s="97"/>
      <c r="O82" s="32"/>
      <c r="P82" s="37"/>
      <c r="Q82" s="97"/>
      <c r="R82" s="37">
        <f t="shared" si="5"/>
        <v>0</v>
      </c>
      <c r="S82" s="27"/>
      <c r="T82" s="27"/>
      <c r="U82" s="27"/>
      <c r="V82" s="27"/>
      <c r="W82" s="27"/>
      <c r="X82" s="27"/>
      <c r="Y82" s="27"/>
    </row>
    <row r="83" spans="1:25" ht="16.899999999999999" customHeight="1">
      <c r="A83" s="89"/>
      <c r="B83" s="96"/>
      <c r="C83" s="16" t="s">
        <v>131</v>
      </c>
      <c r="D83" s="77"/>
      <c r="E83" s="75"/>
      <c r="F83" s="85"/>
      <c r="G83" s="88"/>
      <c r="H83" s="97"/>
      <c r="I83" s="32"/>
      <c r="J83" s="37">
        <f t="shared" si="3"/>
        <v>0</v>
      </c>
      <c r="K83" s="97"/>
      <c r="L83" s="38"/>
      <c r="M83" s="37">
        <f t="shared" si="4"/>
        <v>0</v>
      </c>
      <c r="N83" s="97"/>
      <c r="O83" s="32"/>
      <c r="P83" s="37"/>
      <c r="Q83" s="97"/>
      <c r="R83" s="37">
        <f t="shared" si="5"/>
        <v>0</v>
      </c>
      <c r="S83" s="27"/>
      <c r="T83" s="27"/>
      <c r="U83" s="27"/>
      <c r="V83" s="27"/>
      <c r="W83" s="27"/>
      <c r="X83" s="27"/>
      <c r="Y83" s="27"/>
    </row>
    <row r="84" spans="1:25" ht="16.899999999999999" customHeight="1">
      <c r="A84" s="89" t="s">
        <v>132</v>
      </c>
      <c r="B84" s="96" t="s">
        <v>133</v>
      </c>
      <c r="C84" s="16" t="s">
        <v>134</v>
      </c>
      <c r="D84" s="79"/>
      <c r="E84" s="80" t="s">
        <v>173</v>
      </c>
      <c r="F84" s="81"/>
      <c r="G84" s="82" t="s">
        <v>173</v>
      </c>
      <c r="H84" s="98">
        <v>75</v>
      </c>
      <c r="I84" s="29"/>
      <c r="J84" s="37">
        <f t="shared" si="3"/>
        <v>0</v>
      </c>
      <c r="K84" s="98">
        <v>3</v>
      </c>
      <c r="L84" s="38"/>
      <c r="M84" s="37">
        <f t="shared" si="4"/>
        <v>0</v>
      </c>
      <c r="N84" s="98">
        <v>0</v>
      </c>
      <c r="O84" s="29"/>
      <c r="P84" s="37"/>
      <c r="Q84" s="98">
        <v>78</v>
      </c>
      <c r="R84" s="37">
        <f t="shared" si="5"/>
        <v>0</v>
      </c>
      <c r="S84" s="27"/>
      <c r="T84" s="27"/>
      <c r="U84" s="27"/>
      <c r="V84" s="27"/>
      <c r="W84" s="27"/>
      <c r="X84" s="27"/>
      <c r="Y84" s="27"/>
    </row>
    <row r="85" spans="1:25" ht="16.899999999999999" customHeight="1">
      <c r="A85" s="89"/>
      <c r="B85" s="96"/>
      <c r="C85" s="16" t="s">
        <v>135</v>
      </c>
      <c r="D85" s="79"/>
      <c r="E85" s="80"/>
      <c r="F85" s="81"/>
      <c r="G85" s="82"/>
      <c r="H85" s="108"/>
      <c r="I85" s="30"/>
      <c r="J85" s="37">
        <f t="shared" si="3"/>
        <v>0</v>
      </c>
      <c r="K85" s="108"/>
      <c r="L85" s="38"/>
      <c r="M85" s="37">
        <f t="shared" si="4"/>
        <v>0</v>
      </c>
      <c r="N85" s="108"/>
      <c r="O85" s="30"/>
      <c r="P85" s="37"/>
      <c r="Q85" s="108"/>
      <c r="R85" s="37">
        <f t="shared" si="5"/>
        <v>0</v>
      </c>
      <c r="S85" s="27"/>
      <c r="T85" s="27"/>
      <c r="U85" s="27"/>
      <c r="V85" s="27"/>
      <c r="W85" s="27"/>
      <c r="X85" s="27"/>
      <c r="Y85" s="27"/>
    </row>
    <row r="86" spans="1:25" ht="16.899999999999999" customHeight="1">
      <c r="A86" s="89"/>
      <c r="B86" s="96" t="s">
        <v>136</v>
      </c>
      <c r="C86" s="16" t="s">
        <v>137</v>
      </c>
      <c r="D86" s="79"/>
      <c r="E86" s="80"/>
      <c r="F86" s="81"/>
      <c r="G86" s="82"/>
      <c r="H86" s="99"/>
      <c r="I86" s="31"/>
      <c r="J86" s="37">
        <f t="shared" si="3"/>
        <v>0</v>
      </c>
      <c r="K86" s="99"/>
      <c r="L86" s="38"/>
      <c r="M86" s="37">
        <f t="shared" si="4"/>
        <v>0</v>
      </c>
      <c r="N86" s="99"/>
      <c r="O86" s="31"/>
      <c r="P86" s="37"/>
      <c r="Q86" s="99"/>
      <c r="R86" s="37">
        <f t="shared" si="5"/>
        <v>0</v>
      </c>
      <c r="S86" s="27"/>
      <c r="T86" s="27"/>
      <c r="U86" s="27"/>
      <c r="V86" s="27"/>
      <c r="W86" s="27"/>
      <c r="X86" s="27"/>
      <c r="Y86" s="27"/>
    </row>
    <row r="87" spans="1:25" ht="16.899999999999999" customHeight="1">
      <c r="A87" s="89"/>
      <c r="B87" s="96"/>
      <c r="C87" s="16" t="s">
        <v>138</v>
      </c>
      <c r="D87" s="79"/>
      <c r="E87" s="80"/>
      <c r="F87" s="81"/>
      <c r="G87" s="82"/>
      <c r="H87" s="98">
        <v>60</v>
      </c>
      <c r="I87" s="29"/>
      <c r="J87" s="37">
        <f t="shared" si="3"/>
        <v>0</v>
      </c>
      <c r="K87" s="98">
        <v>2</v>
      </c>
      <c r="L87" s="38"/>
      <c r="M87" s="37">
        <f t="shared" si="4"/>
        <v>0</v>
      </c>
      <c r="N87" s="98">
        <v>0</v>
      </c>
      <c r="O87" s="29"/>
      <c r="P87" s="37"/>
      <c r="Q87" s="98">
        <v>62</v>
      </c>
      <c r="R87" s="37">
        <f t="shared" si="5"/>
        <v>0</v>
      </c>
      <c r="S87" s="27"/>
      <c r="T87" s="27"/>
      <c r="U87" s="27"/>
      <c r="V87" s="27"/>
      <c r="W87" s="27"/>
      <c r="X87" s="27"/>
      <c r="Y87" s="27"/>
    </row>
    <row r="88" spans="1:25" ht="16.899999999999999" customHeight="1">
      <c r="A88" s="89"/>
      <c r="B88" s="96"/>
      <c r="C88" s="16" t="s">
        <v>139</v>
      </c>
      <c r="D88" s="79"/>
      <c r="E88" s="80"/>
      <c r="F88" s="81"/>
      <c r="G88" s="82"/>
      <c r="H88" s="99"/>
      <c r="I88" s="31"/>
      <c r="J88" s="37">
        <f t="shared" si="3"/>
        <v>0</v>
      </c>
      <c r="K88" s="99"/>
      <c r="L88" s="38"/>
      <c r="M88" s="37">
        <f t="shared" si="4"/>
        <v>0</v>
      </c>
      <c r="N88" s="99"/>
      <c r="O88" s="31"/>
      <c r="P88" s="37"/>
      <c r="Q88" s="99"/>
      <c r="R88" s="37">
        <f t="shared" si="5"/>
        <v>0</v>
      </c>
      <c r="S88" s="27"/>
      <c r="T88" s="27"/>
      <c r="U88" s="27"/>
      <c r="V88" s="27"/>
      <c r="W88" s="27"/>
      <c r="X88" s="27"/>
      <c r="Y88" s="27"/>
    </row>
    <row r="89" spans="1:25" ht="16.899999999999999" customHeight="1">
      <c r="A89" s="89" t="s">
        <v>140</v>
      </c>
      <c r="B89" s="96" t="s">
        <v>140</v>
      </c>
      <c r="C89" s="16" t="s">
        <v>141</v>
      </c>
      <c r="D89" s="79"/>
      <c r="E89" s="80" t="s">
        <v>173</v>
      </c>
      <c r="F89" s="81"/>
      <c r="G89" s="82" t="s">
        <v>173</v>
      </c>
      <c r="H89" s="32">
        <v>160</v>
      </c>
      <c r="I89" s="32"/>
      <c r="J89" s="37">
        <f t="shared" si="3"/>
        <v>0</v>
      </c>
      <c r="K89" s="32">
        <v>6</v>
      </c>
      <c r="L89" s="38"/>
      <c r="M89" s="37">
        <f t="shared" si="4"/>
        <v>0</v>
      </c>
      <c r="N89" s="32">
        <v>0</v>
      </c>
      <c r="O89" s="32"/>
      <c r="P89" s="37"/>
      <c r="Q89" s="32">
        <v>166</v>
      </c>
      <c r="R89" s="37">
        <f t="shared" si="5"/>
        <v>0</v>
      </c>
      <c r="S89" s="27"/>
      <c r="T89" s="27"/>
      <c r="U89" s="27"/>
      <c r="V89" s="27"/>
      <c r="W89" s="27"/>
      <c r="X89" s="27"/>
      <c r="Y89" s="27"/>
    </row>
    <row r="90" spans="1:25" ht="16.899999999999999" customHeight="1">
      <c r="A90" s="89"/>
      <c r="B90" s="96"/>
      <c r="C90" s="16" t="s">
        <v>142</v>
      </c>
      <c r="D90" s="79"/>
      <c r="E90" s="80"/>
      <c r="F90" s="81"/>
      <c r="G90" s="82"/>
      <c r="H90" s="32"/>
      <c r="I90" s="32"/>
      <c r="J90" s="37">
        <f t="shared" si="3"/>
        <v>0</v>
      </c>
      <c r="K90" s="32"/>
      <c r="L90" s="38"/>
      <c r="M90" s="37">
        <f t="shared" si="4"/>
        <v>0</v>
      </c>
      <c r="N90" s="32"/>
      <c r="O90" s="32"/>
      <c r="P90" s="37"/>
      <c r="Q90" s="32"/>
      <c r="R90" s="37">
        <f t="shared" si="5"/>
        <v>0</v>
      </c>
      <c r="S90" s="27"/>
      <c r="T90" s="27"/>
      <c r="U90" s="27"/>
      <c r="V90" s="27"/>
      <c r="W90" s="27"/>
      <c r="X90" s="27"/>
      <c r="Y90" s="27"/>
    </row>
    <row r="91" spans="1:25" ht="16.899999999999999" customHeight="1">
      <c r="A91" s="89"/>
      <c r="B91" s="96"/>
      <c r="C91" s="16" t="s">
        <v>143</v>
      </c>
      <c r="D91" s="79"/>
      <c r="E91" s="80"/>
      <c r="F91" s="81"/>
      <c r="G91" s="82"/>
      <c r="H91" s="32"/>
      <c r="I91" s="32"/>
      <c r="J91" s="37">
        <f t="shared" si="3"/>
        <v>0</v>
      </c>
      <c r="K91" s="32"/>
      <c r="L91" s="38"/>
      <c r="M91" s="37">
        <f t="shared" si="4"/>
        <v>0</v>
      </c>
      <c r="N91" s="32"/>
      <c r="O91" s="32"/>
      <c r="P91" s="37"/>
      <c r="Q91" s="32"/>
      <c r="R91" s="37">
        <f t="shared" si="5"/>
        <v>0</v>
      </c>
      <c r="S91" s="27"/>
      <c r="T91" s="27"/>
      <c r="U91" s="27"/>
      <c r="V91" s="27"/>
      <c r="W91" s="27"/>
      <c r="X91" s="27"/>
      <c r="Y91" s="27"/>
    </row>
    <row r="92" spans="1:25" ht="16.899999999999999" customHeight="1">
      <c r="A92" s="89"/>
      <c r="B92" s="96"/>
      <c r="C92" s="16" t="s">
        <v>144</v>
      </c>
      <c r="D92" s="79"/>
      <c r="E92" s="80"/>
      <c r="F92" s="81"/>
      <c r="G92" s="82"/>
      <c r="H92" s="32"/>
      <c r="I92" s="32"/>
      <c r="J92" s="37">
        <f t="shared" si="3"/>
        <v>0</v>
      </c>
      <c r="K92" s="32"/>
      <c r="L92" s="38"/>
      <c r="M92" s="37">
        <f t="shared" si="4"/>
        <v>0</v>
      </c>
      <c r="N92" s="32"/>
      <c r="O92" s="32"/>
      <c r="P92" s="37"/>
      <c r="Q92" s="32"/>
      <c r="R92" s="37">
        <f t="shared" si="5"/>
        <v>0</v>
      </c>
      <c r="S92" s="27"/>
      <c r="T92" s="27"/>
      <c r="U92" s="27"/>
      <c r="V92" s="27"/>
      <c r="W92" s="27"/>
      <c r="X92" s="27"/>
      <c r="Y92" s="27"/>
    </row>
    <row r="93" spans="1:25" ht="16.899999999999999" customHeight="1">
      <c r="A93" s="20"/>
      <c r="B93" s="20"/>
      <c r="C93" s="21"/>
      <c r="D93" s="22"/>
      <c r="E93" s="20"/>
      <c r="F93" s="22"/>
      <c r="G93" s="22"/>
    </row>
  </sheetData>
  <mergeCells count="156">
    <mergeCell ref="S1:Y1"/>
    <mergeCell ref="J1:J2"/>
    <mergeCell ref="L1:L2"/>
    <mergeCell ref="M1:M2"/>
    <mergeCell ref="O1:O2"/>
    <mergeCell ref="P1:P2"/>
    <mergeCell ref="R1:R2"/>
    <mergeCell ref="H87:H88"/>
    <mergeCell ref="K87:K88"/>
    <mergeCell ref="N87:N88"/>
    <mergeCell ref="Q87:Q88"/>
    <mergeCell ref="K1:K2"/>
    <mergeCell ref="N1:N2"/>
    <mergeCell ref="Q1:Q2"/>
    <mergeCell ref="H84:H86"/>
    <mergeCell ref="K84:K86"/>
    <mergeCell ref="N84:N86"/>
    <mergeCell ref="Q84:Q86"/>
    <mergeCell ref="H81:H83"/>
    <mergeCell ref="K81:K83"/>
    <mergeCell ref="N81:N83"/>
    <mergeCell ref="Q81:Q83"/>
    <mergeCell ref="H69:H70"/>
    <mergeCell ref="K69:K70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N69:N70"/>
    <mergeCell ref="Q69:Q70"/>
    <mergeCell ref="H76:H77"/>
    <mergeCell ref="K76:K77"/>
    <mergeCell ref="N76:N77"/>
    <mergeCell ref="Q76:Q77"/>
    <mergeCell ref="H79:H80"/>
    <mergeCell ref="K79:K80"/>
    <mergeCell ref="N79:N80"/>
    <mergeCell ref="Q79:Q80"/>
    <mergeCell ref="H65:H66"/>
    <mergeCell ref="K65:K66"/>
    <mergeCell ref="N65:N66"/>
    <mergeCell ref="Q65:Q66"/>
    <mergeCell ref="H67:H68"/>
    <mergeCell ref="K67:K68"/>
    <mergeCell ref="N67:N68"/>
    <mergeCell ref="Q67:Q68"/>
    <mergeCell ref="H61:H62"/>
    <mergeCell ref="K61:K62"/>
    <mergeCell ref="N61:N62"/>
    <mergeCell ref="Q61:Q62"/>
    <mergeCell ref="H63:H64"/>
    <mergeCell ref="K63:K64"/>
    <mergeCell ref="N63:N64"/>
    <mergeCell ref="Q63:Q64"/>
    <mergeCell ref="H59:H60"/>
    <mergeCell ref="K59:K60"/>
    <mergeCell ref="N59:N60"/>
    <mergeCell ref="Q59:Q60"/>
    <mergeCell ref="H56:H58"/>
    <mergeCell ref="K56:K58"/>
    <mergeCell ref="N56:N58"/>
    <mergeCell ref="Q56:Q58"/>
    <mergeCell ref="Q42:Q45"/>
    <mergeCell ref="H51:H55"/>
    <mergeCell ref="K51:K55"/>
    <mergeCell ref="N51:N55"/>
    <mergeCell ref="Q51:Q55"/>
    <mergeCell ref="H48:H49"/>
    <mergeCell ref="K48:K49"/>
    <mergeCell ref="N48:N49"/>
    <mergeCell ref="Q48:Q49"/>
    <mergeCell ref="H46:H47"/>
    <mergeCell ref="K46:K47"/>
    <mergeCell ref="N46:N47"/>
    <mergeCell ref="Q46:Q47"/>
    <mergeCell ref="H3:H32"/>
    <mergeCell ref="K3:K32"/>
    <mergeCell ref="N3:N32"/>
    <mergeCell ref="Q3:Q32"/>
    <mergeCell ref="H33:H41"/>
    <mergeCell ref="K33:K41"/>
    <mergeCell ref="N33:N41"/>
    <mergeCell ref="Q33:Q41"/>
    <mergeCell ref="H42:H45"/>
    <mergeCell ref="K42:K45"/>
    <mergeCell ref="N42:N45"/>
    <mergeCell ref="A84:A88"/>
    <mergeCell ref="B84:B85"/>
    <mergeCell ref="B86:B88"/>
    <mergeCell ref="A89:A92"/>
    <mergeCell ref="B89:B92"/>
    <mergeCell ref="A71:A80"/>
    <mergeCell ref="B76:B77"/>
    <mergeCell ref="B79:B80"/>
    <mergeCell ref="A81:A83"/>
    <mergeCell ref="B81:B83"/>
    <mergeCell ref="B48:B49"/>
    <mergeCell ref="A51:A55"/>
    <mergeCell ref="B51:B55"/>
    <mergeCell ref="A56:A70"/>
    <mergeCell ref="B56:B58"/>
    <mergeCell ref="B59:B60"/>
    <mergeCell ref="B61:B62"/>
    <mergeCell ref="B63:B64"/>
    <mergeCell ref="B65:B66"/>
    <mergeCell ref="B67:B68"/>
    <mergeCell ref="A46:A50"/>
    <mergeCell ref="B46:B47"/>
    <mergeCell ref="B69:B70"/>
    <mergeCell ref="A3:A45"/>
    <mergeCell ref="B3:B32"/>
    <mergeCell ref="B33:B41"/>
    <mergeCell ref="B42:B45"/>
    <mergeCell ref="D3:D45"/>
    <mergeCell ref="E3:E5"/>
    <mergeCell ref="F3:F80"/>
    <mergeCell ref="G3:G50"/>
    <mergeCell ref="E15:E17"/>
    <mergeCell ref="E38:E39"/>
    <mergeCell ref="E42:E45"/>
    <mergeCell ref="G51:G68"/>
    <mergeCell ref="G69:G70"/>
    <mergeCell ref="D46:D50"/>
    <mergeCell ref="E46:E47"/>
    <mergeCell ref="E48:E49"/>
    <mergeCell ref="D51:D70"/>
    <mergeCell ref="E51:E55"/>
    <mergeCell ref="E56:E58"/>
    <mergeCell ref="E59:E60"/>
    <mergeCell ref="E61:E62"/>
    <mergeCell ref="E63:E64"/>
    <mergeCell ref="E65:E66"/>
    <mergeCell ref="E67:E68"/>
    <mergeCell ref="E69:E70"/>
    <mergeCell ref="D71:D80"/>
    <mergeCell ref="G71:G72"/>
    <mergeCell ref="G73:G80"/>
    <mergeCell ref="E76:E77"/>
    <mergeCell ref="E79:E80"/>
    <mergeCell ref="D89:D92"/>
    <mergeCell ref="E89:E92"/>
    <mergeCell ref="F89:F92"/>
    <mergeCell ref="G89:G92"/>
    <mergeCell ref="D81:D83"/>
    <mergeCell ref="E81:E83"/>
    <mergeCell ref="F81:F83"/>
    <mergeCell ref="G81:G83"/>
    <mergeCell ref="D84:D88"/>
    <mergeCell ref="E84:E88"/>
    <mergeCell ref="F84:F88"/>
    <mergeCell ref="G84:G88"/>
  </mergeCells>
  <conditionalFormatting sqref="E6">
    <cfRule type="cellIs" dxfId="3" priority="3" operator="equal">
      <formula>"Vacancy"</formula>
    </cfRule>
    <cfRule type="cellIs" dxfId="2" priority="4" operator="equal">
      <formula>"Vacancy"</formula>
    </cfRule>
  </conditionalFormatting>
  <conditionalFormatting sqref="E15">
    <cfRule type="cellIs" dxfId="1" priority="1" operator="equal">
      <formula>"Vacancy"</formula>
    </cfRule>
    <cfRule type="cellIs" dxfId="0" priority="2" operator="equal">
      <formula>"Vacancy"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78D7-A2EF-419C-A23C-95771B6C8C5C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Guest User</cp:lastModifiedBy>
  <cp:revision/>
  <dcterms:created xsi:type="dcterms:W3CDTF">2025-10-29T09:23:31Z</dcterms:created>
  <dcterms:modified xsi:type="dcterms:W3CDTF">2026-06-21T14:11:32Z</dcterms:modified>
  <cp:category/>
  <cp:contentStatus/>
</cp:coreProperties>
</file>